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_data" sheetId="1" r:id="rId5"/>
    <sheet state="visible" name="Help(meta_data)" sheetId="2" r:id="rId6"/>
    <sheet state="visible" name="catalogo_arquivos" sheetId="3" r:id="rId7"/>
    <sheet state="visible" name="Help(catalogo_arquivos)" sheetId="4" r:id="rId8"/>
  </sheets>
  <definedNames/>
  <calcPr/>
</workbook>
</file>

<file path=xl/sharedStrings.xml><?xml version="1.0" encoding="utf-8"?>
<sst xmlns="http://schemas.openxmlformats.org/spreadsheetml/2006/main" count="406" uniqueCount="202">
  <si>
    <t>tabela_nome</t>
  </si>
  <si>
    <t>tabela_nome_arquivo</t>
  </si>
  <si>
    <t>tipo_arquivo</t>
  </si>
  <si>
    <t>tipo_tamanho</t>
  </si>
  <si>
    <t>db_nome</t>
  </si>
  <si>
    <t>nome_arquivo_fisico</t>
  </si>
  <si>
    <t>camada_dw</t>
  </si>
  <si>
    <t>descricao</t>
  </si>
  <si>
    <t>fonte</t>
  </si>
  <si>
    <t>freq_atualizacao</t>
  </si>
  <si>
    <t>scripts_etl</t>
  </si>
  <si>
    <t>VARCHAR(14)</t>
  </si>
  <si>
    <t>data_coleta</t>
  </si>
  <si>
    <t>resp_coleta</t>
  </si>
  <si>
    <t>INT</t>
  </si>
  <si>
    <t>nome_coluna</t>
  </si>
  <si>
    <t>nome_extenso</t>
  </si>
  <si>
    <t>XLSX</t>
  </si>
  <si>
    <t>chave</t>
  </si>
  <si>
    <t>aceita_nulo</t>
  </si>
  <si>
    <t>vlr_permitidos</t>
  </si>
  <si>
    <t>regex_transformacao</t>
  </si>
  <si>
    <t>Agregação</t>
  </si>
  <si>
    <t>TBL_001</t>
  </si>
  <si>
    <t>orcamento_caragua_2025.xlsx</t>
  </si>
  <si>
    <t>BD_Atlas_1991_2025_v1.1_2026.08.06_Consolidado.xlsx</t>
  </si>
  <si>
    <t>STAGING</t>
  </si>
  <si>
    <t>Dados de despesas</t>
  </si>
  <si>
    <t>TCE-SP</t>
  </si>
  <si>
    <t>Mensal</t>
  </si>
  <si>
    <t>TEXT</t>
  </si>
  <si>
    <t>DATE</t>
  </si>
  <si>
    <t>FLOAT</t>
  </si>
  <si>
    <t>KML</t>
  </si>
  <si>
    <t>BOOLEAN</t>
  </si>
  <si>
    <t>SHP</t>
  </si>
  <si>
    <t>DOCX</t>
  </si>
  <si>
    <t xml:space="preserve">XLSX </t>
  </si>
  <si>
    <t>protocolo_s2id</t>
  </si>
  <si>
    <t>ICM_2026.xlsx</t>
  </si>
  <si>
    <t>Protocolo</t>
  </si>
  <si>
    <t>Indicador de Capacidade Municipal (ICM)</t>
  </si>
  <si>
    <t>https://www.gov.br/mdr/pt-br/assuntos/protecao-e-defesa-civil/icm</t>
  </si>
  <si>
    <t>CHAR</t>
  </si>
  <si>
    <t>NÃO</t>
  </si>
  <si>
    <t>Drop</t>
  </si>
  <si>
    <t>Anual</t>
  </si>
  <si>
    <t>nome_municipio</t>
  </si>
  <si>
    <t>Nome do Município</t>
  </si>
  <si>
    <t>s</t>
  </si>
  <si>
    <t>sigla_uf</t>
  </si>
  <si>
    <t>Sigla UF</t>
  </si>
  <si>
    <t>regiao</t>
  </si>
  <si>
    <t>Região</t>
  </si>
  <si>
    <t>data_registro</t>
  </si>
  <si>
    <t>Data do Registro</t>
  </si>
  <si>
    <t>^\d{2}[\/\-]\d{2}[\/\-]\d{4}$</t>
  </si>
  <si>
    <t>data_evento</t>
  </si>
  <si>
    <t>Data do Evento</t>
  </si>
  <si>
    <t>cod_cobrade</t>
  </si>
  <si>
    <t>Codificação Brasileira de Desastres</t>
  </si>
  <si>
    <t>Moda</t>
  </si>
  <si>
    <t>tipologia</t>
  </si>
  <si>
    <t>Tipologia</t>
  </si>
  <si>
    <t>descricao_tipologia</t>
  </si>
  <si>
    <t>Descrição da Tipologia</t>
  </si>
  <si>
    <t>grupo_de_desastre</t>
  </si>
  <si>
    <t>Grupo de Desastre</t>
  </si>
  <si>
    <t>cod_ibge_mun</t>
  </si>
  <si>
    <t>Código IBGE do Município</t>
  </si>
  <si>
    <t>PK</t>
  </si>
  <si>
    <t>setores_censitarios</t>
  </si>
  <si>
    <t>Setores Censitários</t>
  </si>
  <si>
    <t>status</t>
  </si>
  <si>
    <t>Status</t>
  </si>
  <si>
    <t>dh_descricao</t>
  </si>
  <si>
    <t>Danos Humanos - Descrição</t>
  </si>
  <si>
    <t>dh_mortos</t>
  </si>
  <si>
    <t>Danos Humanos - Mortos</t>
  </si>
  <si>
    <t>Sum</t>
  </si>
  <si>
    <t>dh_feridos</t>
  </si>
  <si>
    <t>Danos Humanos - Feridos</t>
  </si>
  <si>
    <t>dh_enfermos</t>
  </si>
  <si>
    <t>Danos Humanos - Enfermos</t>
  </si>
  <si>
    <t>dh_desabrigados</t>
  </si>
  <si>
    <t>Danos Humanos - Desabrigados</t>
  </si>
  <si>
    <t>dh_desalojados</t>
  </si>
  <si>
    <t>Danos Humanos - Desalojados</t>
  </si>
  <si>
    <t>dh_desaparecidos</t>
  </si>
  <si>
    <t>Danos Humanos - Desaparecidos</t>
  </si>
  <si>
    <t>dh_afetados_seca_estiagem</t>
  </si>
  <si>
    <t>dh_total_danos_humanos_diretos</t>
  </si>
  <si>
    <t>dh_outros_afetados</t>
  </si>
  <si>
    <t>dm_descricao</t>
  </si>
  <si>
    <t>dm_uni_habita_danificadas</t>
  </si>
  <si>
    <t>dm_uni_habita_destruidas</t>
  </si>
  <si>
    <t>dm_uni_habita_valor</t>
  </si>
  <si>
    <t>dm_inst_saude_danificadas</t>
  </si>
  <si>
    <t>dm_inst_saude_destruidas</t>
  </si>
  <si>
    <t>dm_inst_saude_valor</t>
  </si>
  <si>
    <t>dm_inst_ensino_danificadas</t>
  </si>
  <si>
    <t>dm_inst_ensino_destruidas</t>
  </si>
  <si>
    <t>dm_inst_ensino_valor</t>
  </si>
  <si>
    <t>dm_inst_servicos_danificadas</t>
  </si>
  <si>
    <t>dm_inst_servicos_destruidas</t>
  </si>
  <si>
    <t>dm_inst_servicos_valor</t>
  </si>
  <si>
    <t>dm_inst_comuni_danificadas</t>
  </si>
  <si>
    <t>dm_inst_comuni_destruidas</t>
  </si>
  <si>
    <t>dm_inst_comuni_valor</t>
  </si>
  <si>
    <t>dm_obras_de_infra_danificadas</t>
  </si>
  <si>
    <t>dm_obras_de_infra_destruidas</t>
  </si>
  <si>
    <t>dm_obras_de_infra_valor</t>
  </si>
  <si>
    <t>dm_total_danos_materiais</t>
  </si>
  <si>
    <t>da_descricao</t>
  </si>
  <si>
    <t>da_polui_cont_da_agua</t>
  </si>
  <si>
    <t>da_polui_cont_do_ar</t>
  </si>
  <si>
    <t>da_polui_cont_do_solo</t>
  </si>
  <si>
    <t>da_dimi_exauri_hidrico</t>
  </si>
  <si>
    <t>da_incendi_parques_apas_apps</t>
  </si>
  <si>
    <t>pepl_descricao</t>
  </si>
  <si>
    <t>pepl_assis_med_e_emergen_r$</t>
  </si>
  <si>
    <t>pepl_abast_de_agua_pot_r$</t>
  </si>
  <si>
    <t>pepl_sist_de_esgotos_sanit_r$</t>
  </si>
  <si>
    <t>pepl_sis_limp_e_rec_lixo_r$</t>
  </si>
  <si>
    <t>pepl_sis_cont_pragas_r$</t>
  </si>
  <si>
    <t>pepl_distrib_energia_r$</t>
  </si>
  <si>
    <t>pepl_telecomunicacoes_r$</t>
  </si>
  <si>
    <t>pepl_tran_locregl_curso_r$</t>
  </si>
  <si>
    <t>pepl_distrib_combustiveis_r$</t>
  </si>
  <si>
    <t>pepl_seguranca_publica_r$</t>
  </si>
  <si>
    <t>pepl_ensino_r$</t>
  </si>
  <si>
    <t>pepl_total_publico</t>
  </si>
  <si>
    <t>pepr_descricao</t>
  </si>
  <si>
    <t>pepr_agricultura_r$</t>
  </si>
  <si>
    <t>pepr_pecuaria_r$</t>
  </si>
  <si>
    <t>pepr_industria_r$</t>
  </si>
  <si>
    <t>pepr_comercio_r$</t>
  </si>
  <si>
    <t>pepr_servicos_r$</t>
  </si>
  <si>
    <t>pepr_total_privado</t>
  </si>
  <si>
    <t>pe_plepr</t>
  </si>
  <si>
    <t>cod_mun</t>
  </si>
  <si>
    <t>uf</t>
  </si>
  <si>
    <t>Estado</t>
  </si>
  <si>
    <t>codigo_uf</t>
  </si>
  <si>
    <t>UF</t>
  </si>
  <si>
    <t>municipio</t>
  </si>
  <si>
    <t>Município</t>
  </si>
  <si>
    <t>faixa</t>
  </si>
  <si>
    <t>Faixa Populacional</t>
  </si>
  <si>
    <t>Região do Brasil</t>
  </si>
  <si>
    <t>v1</t>
  </si>
  <si>
    <t>V-1 - PPA Municipal incluindo Proteção e Defesa Civil</t>
  </si>
  <si>
    <t>v2</t>
  </si>
  <si>
    <t>V-2 - Plano diretor aprovado por Lei Municipal incluindo Proteção e Defesa Civil</t>
  </si>
  <si>
    <t>v3</t>
  </si>
  <si>
    <t>V-3 - Plano Municipal de Redução de Riscos</t>
  </si>
  <si>
    <t>v4</t>
  </si>
  <si>
    <t>V-4 - Carta de Sustentabilidade ou documento equivalente de identificação de riscos de desastres</t>
  </si>
  <si>
    <t>v5</t>
  </si>
  <si>
    <t>V-5 - Carta Geotécnica de Aptidão à Urbanização</t>
  </si>
  <si>
    <t>v6</t>
  </si>
  <si>
    <t>V-6 - Mapeamento de áreas de risco</t>
  </si>
  <si>
    <t>v7</t>
  </si>
  <si>
    <t>V-7 - Cadastro ou identificação de famílias em áreas de risco</t>
  </si>
  <si>
    <t>v8</t>
  </si>
  <si>
    <t>V-8 - Plano de Contingência</t>
  </si>
  <si>
    <t>v9</t>
  </si>
  <si>
    <t>V-9 - Sistema Municipal ou conselho Municipal Intersetorial de Proteção e Defesa Civil</t>
  </si>
  <si>
    <t>v10</t>
  </si>
  <si>
    <t>V-10 - Coordenação Municipal de Proteção e defesa Civil (Compdec)</t>
  </si>
  <si>
    <t>v11</t>
  </si>
  <si>
    <t>V-11 - Dotação orçamentária (LOA) para proteção e Defesa Civil</t>
  </si>
  <si>
    <t>v12</t>
  </si>
  <si>
    <t>V-12 - Existência de Núcleos Comunitários de Proteção e Defesa Civil (Nupdec)</t>
  </si>
  <si>
    <t>v13</t>
  </si>
  <si>
    <t>V-13 - Número mínimo de pessoas capacitadas em Proteção e Defesa Civil</t>
  </si>
  <si>
    <t>v14</t>
  </si>
  <si>
    <t>V-14 - Pessoa certificada em pelo menos uma temática do Plano de Capacitação Continuada da Sedec</t>
  </si>
  <si>
    <t>v15</t>
  </si>
  <si>
    <t>V-15 - Usuário habilitado no S2iD</t>
  </si>
  <si>
    <t>v16</t>
  </si>
  <si>
    <t>V-16 - Controle e fiscalização para evitar a edificação em áreas suscetíveis, vistoriar edificações e áreas de risco</t>
  </si>
  <si>
    <t>v17</t>
  </si>
  <si>
    <t>V-17 - Programação de habitação de interesse social para reassentamento de famílias removidas de áreas de risco ou desabrigadas em função de desastres</t>
  </si>
  <si>
    <t>v18</t>
  </si>
  <si>
    <t>V-18 - Medidas de drenagem urbana necessárias à prevenção e mitigação de riscos de desastres</t>
  </si>
  <si>
    <t>v19</t>
  </si>
  <si>
    <t>V-19 - Campanhas ou atividades educativas para conscientização sobre riscos de desastres</t>
  </si>
  <si>
    <t>v20</t>
  </si>
  <si>
    <t>V-20 - Sistema municipal de monitoramento e alerta antecipado</t>
  </si>
  <si>
    <t>porte</t>
  </si>
  <si>
    <t>Porte do Município</t>
  </si>
  <si>
    <t>perfil de risco</t>
  </si>
  <si>
    <t>Perfil de Risco do Município</t>
  </si>
  <si>
    <t>dimensao_I</t>
  </si>
  <si>
    <t>I - Instrumento de Planejamento e Gestão (V1-8)</t>
  </si>
  <si>
    <t>dimensao_II</t>
  </si>
  <si>
    <t>II – Coordenação Intersetorial e Capacidades (V9-15)</t>
  </si>
  <si>
    <t>dimensao_III</t>
  </si>
  <si>
    <t>III – Políticas, Programas e Ações (V16-20)</t>
  </si>
  <si>
    <t>ICM_total</t>
  </si>
  <si>
    <t>Pontuação ICM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</si>
</sst>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3">
    <font>
      <sz val="10.0"/>
      <color rgb="FF000000"/>
      <name val="Arial"/>
      <scheme val="minor"/>
    </font>
    <font>
      <b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1.0"/>
      <color rgb="FF000000"/>
      <name val="&quot;Aptos Narrow&quot;"/>
    </font>
    <font>
      <u/>
      <color rgb="FF0000FF"/>
      <name val="Arial"/>
    </font>
    <font>
      <sz val="11.0"/>
      <color rgb="FF000000"/>
      <name val="Calibri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2" fontId="8" numFmtId="0" xfId="0" applyAlignment="1" applyFill="1" applyFont="1">
      <alignment readingOrder="0"/>
    </xf>
    <xf borderId="0" fillId="0" fontId="5" numFmtId="0" xfId="0" applyAlignment="1" applyFont="1">
      <alignment readingOrder="0" vertical="bottom"/>
    </xf>
    <xf borderId="0" fillId="3" fontId="9" numFmtId="0" xfId="0" applyAlignment="1" applyFill="1" applyFont="1">
      <alignment readingOrder="0" shrinkToFit="0" vertical="bottom" wrapText="0"/>
    </xf>
    <xf borderId="0" fillId="4" fontId="7" numFmtId="0" xfId="0" applyAlignment="1" applyFill="1" applyFont="1">
      <alignment readingOrder="0"/>
    </xf>
    <xf borderId="1" fillId="2" fontId="3" numFmtId="0" xfId="0" applyAlignment="1" applyBorder="1" applyFill="1" applyFont="1">
      <alignment readingOrder="0" shrinkToFit="0" wrapText="1"/>
    </xf>
    <xf borderId="1" fillId="2" fontId="3" numFmtId="0" xfId="0" applyAlignment="1" applyBorder="1" applyFill="1" applyFont="1">
      <alignment shrinkToFit="0" wrapText="1"/>
    </xf>
    <xf borderId="0" fillId="2" fontId="7" numFmtId="0" xfId="0" applyAlignment="1" applyFill="1" applyFont="1">
      <alignment readingOrder="0"/>
    </xf>
    <xf borderId="0" fillId="2" fontId="7" numFmtId="0" xfId="0" applyFill="1" applyFont="1"/>
    <xf borderId="0" fillId="0" fontId="10" numFmtId="0" xfId="0" applyAlignment="1" applyFont="1">
      <alignment readingOrder="0" vertical="bottom"/>
    </xf>
    <xf borderId="0" fillId="0" fontId="5" numFmtId="164" xfId="0" applyAlignment="1" applyFont="1" applyNumberFormat="1">
      <alignment readingOrder="0" vertical="bottom"/>
    </xf>
    <xf borderId="0" fillId="2" fontId="7" numFmtId="0" xfId="0" applyAlignment="1" applyFill="1" applyFont="1">
      <alignment readingOrder="0"/>
    </xf>
    <xf borderId="0" fillId="2" fontId="11" numFmtId="0" xfId="0" applyAlignment="1" applyFill="1" applyFont="1">
      <alignment readingOrder="0" shrinkToFit="0" vertical="bottom" wrapText="0"/>
    </xf>
    <xf borderId="0" fillId="2" fontId="12" numFmtId="0" xfId="0" applyAlignment="1" applyFill="1" applyFont="1">
      <alignment readingOrder="0"/>
    </xf>
    <xf borderId="0" fillId="2" fontId="9" numFmtId="0" xfId="0" applyAlignment="1" applyFill="1" applyFont="1">
      <alignment readingOrder="0" shrinkToFit="0" vertical="bottom" wrapText="0"/>
    </xf>
    <xf borderId="0" fillId="4" fontId="11" numFmtId="0" xfId="0" applyAlignment="1" applyFill="1" applyFont="1">
      <alignment readingOrder="0" shrinkToFit="0" vertical="bottom" wrapText="0"/>
    </xf>
    <xf borderId="0" fillId="4" fontId="7" numFmtId="0" xfId="0" applyFill="1" applyFont="1"/>
    <xf borderId="1" fillId="4" fontId="3" numFmtId="0" xfId="0" applyAlignment="1" applyBorder="1" applyFill="1" applyFont="1">
      <alignment readingOrder="0" shrinkToFit="0" wrapText="1"/>
    </xf>
    <xf borderId="0" fillId="4" fontId="11" numFmtId="0" xfId="0" applyAlignment="1" applyFill="1" applyFont="1">
      <alignment shrinkToFit="0" vertical="bottom" wrapText="0"/>
    </xf>
    <xf borderId="0" fillId="5" fontId="11" numFmtId="0" xfId="0" applyAlignment="1" applyFill="1" applyFont="1">
      <alignment readingOrder="0" shrinkToFit="0" vertical="bottom" wrapText="0"/>
    </xf>
    <xf borderId="0" fillId="0" fontId="7" numFmtId="0" xfId="0" applyFont="1"/>
    <xf borderId="1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mdr/pt-br/assuntos/protecao-e-defesa-civil/ic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4.13"/>
    <col customWidth="1" min="2" max="2" width="28.63"/>
    <col customWidth="1" min="3" max="3" width="45.25"/>
    <col customWidth="1" min="4" max="4" width="14.0"/>
    <col customWidth="1" min="5" max="5" width="7.63"/>
    <col customWidth="1" min="6" max="6" width="12.63"/>
    <col customWidth="1" min="7" max="7" width="20.13"/>
    <col customWidth="1" min="8" max="8" width="20.88"/>
    <col customWidth="1" min="9" max="9" width="10.38"/>
  </cols>
  <sheetData>
    <row r="1" ht="15.75" customHeight="1">
      <c r="A1" s="5" t="s">
        <v>1</v>
      </c>
      <c r="B1" s="2" t="s">
        <v>15</v>
      </c>
      <c r="C1" s="2" t="s">
        <v>16</v>
      </c>
      <c r="D1" s="2" t="s">
        <v>3</v>
      </c>
      <c r="E1" s="2" t="s">
        <v>18</v>
      </c>
      <c r="F1" s="2" t="s">
        <v>19</v>
      </c>
      <c r="G1" s="2" t="s">
        <v>20</v>
      </c>
      <c r="H1" s="2" t="s">
        <v>21</v>
      </c>
      <c r="I1" s="7" t="s">
        <v>22</v>
      </c>
    </row>
    <row r="2" ht="15.75" customHeight="1">
      <c r="A2" s="10" t="s">
        <v>25</v>
      </c>
      <c r="B2" s="12" t="s">
        <v>38</v>
      </c>
      <c r="C2" s="14" t="s">
        <v>40</v>
      </c>
      <c r="D2" s="14" t="s">
        <v>43</v>
      </c>
      <c r="E2" s="14"/>
      <c r="F2" s="15" t="s">
        <v>44</v>
      </c>
      <c r="G2" s="14"/>
      <c r="H2" s="15"/>
      <c r="I2" s="16" t="s">
        <v>45</v>
      </c>
      <c r="J2" s="17"/>
    </row>
    <row r="3" ht="15.75" customHeight="1">
      <c r="A3" s="10" t="s">
        <v>25</v>
      </c>
      <c r="B3" s="12" t="s">
        <v>47</v>
      </c>
      <c r="C3" s="16" t="s">
        <v>48</v>
      </c>
      <c r="D3" s="20" t="s">
        <v>43</v>
      </c>
      <c r="E3" s="14"/>
      <c r="F3" s="17"/>
      <c r="G3" s="17"/>
      <c r="H3" s="17"/>
      <c r="I3" s="16" t="s">
        <v>49</v>
      </c>
      <c r="J3" s="17"/>
    </row>
    <row r="4" ht="15.75" customHeight="1">
      <c r="A4" s="10" t="s">
        <v>25</v>
      </c>
      <c r="B4" s="12" t="s">
        <v>50</v>
      </c>
      <c r="C4" s="16" t="s">
        <v>51</v>
      </c>
      <c r="D4" s="14" t="s">
        <v>43</v>
      </c>
      <c r="E4" s="14"/>
      <c r="F4" s="17"/>
      <c r="G4" s="17"/>
      <c r="H4" s="17"/>
      <c r="I4" s="16" t="s">
        <v>49</v>
      </c>
      <c r="J4" s="17"/>
    </row>
    <row r="5" ht="15.75" customHeight="1">
      <c r="A5" s="10" t="s">
        <v>25</v>
      </c>
      <c r="B5" s="12" t="s">
        <v>52</v>
      </c>
      <c r="C5" s="16" t="s">
        <v>53</v>
      </c>
      <c r="D5" s="14" t="s">
        <v>43</v>
      </c>
      <c r="E5" s="14"/>
      <c r="F5" s="17"/>
      <c r="G5" s="17"/>
      <c r="H5" s="17"/>
      <c r="I5" s="16" t="s">
        <v>49</v>
      </c>
      <c r="J5" s="17"/>
    </row>
    <row r="6" ht="15.75" customHeight="1">
      <c r="A6" s="10" t="s">
        <v>25</v>
      </c>
      <c r="B6" s="12" t="s">
        <v>54</v>
      </c>
      <c r="C6" s="16" t="s">
        <v>55</v>
      </c>
      <c r="D6" s="14" t="s">
        <v>31</v>
      </c>
      <c r="E6" s="14"/>
      <c r="F6" s="17"/>
      <c r="G6" s="21" t="s">
        <v>56</v>
      </c>
      <c r="H6" s="17"/>
      <c r="I6" s="16" t="s">
        <v>45</v>
      </c>
      <c r="J6" s="17"/>
    </row>
    <row r="7" ht="15.75" customHeight="1">
      <c r="A7" s="10" t="s">
        <v>25</v>
      </c>
      <c r="B7" s="12" t="s">
        <v>57</v>
      </c>
      <c r="C7" s="16" t="s">
        <v>58</v>
      </c>
      <c r="D7" s="14" t="s">
        <v>31</v>
      </c>
      <c r="E7" s="14"/>
      <c r="F7" s="17"/>
      <c r="G7" s="17"/>
      <c r="H7" s="17"/>
      <c r="I7" s="16" t="s">
        <v>45</v>
      </c>
      <c r="J7" s="17"/>
    </row>
    <row r="8" ht="15.75" customHeight="1">
      <c r="A8" s="10" t="s">
        <v>25</v>
      </c>
      <c r="B8" s="12" t="s">
        <v>59</v>
      </c>
      <c r="C8" s="16" t="s">
        <v>60</v>
      </c>
      <c r="D8" s="14" t="s">
        <v>43</v>
      </c>
      <c r="E8" s="14"/>
      <c r="F8" s="17"/>
      <c r="G8" s="17"/>
      <c r="H8" s="17"/>
      <c r="I8" s="16" t="s">
        <v>61</v>
      </c>
      <c r="J8" s="17"/>
    </row>
    <row r="9" ht="15.75" customHeight="1">
      <c r="A9" s="10" t="s">
        <v>25</v>
      </c>
      <c r="B9" s="12" t="s">
        <v>62</v>
      </c>
      <c r="C9" s="16" t="s">
        <v>63</v>
      </c>
      <c r="D9" s="22" t="s">
        <v>14</v>
      </c>
      <c r="E9" s="14"/>
      <c r="F9" s="17"/>
      <c r="G9" s="17"/>
      <c r="H9" s="17"/>
      <c r="I9" s="16" t="s">
        <v>45</v>
      </c>
      <c r="J9" s="17"/>
    </row>
    <row r="10" ht="15.75" customHeight="1">
      <c r="A10" s="10" t="s">
        <v>25</v>
      </c>
      <c r="B10" s="12" t="s">
        <v>64</v>
      </c>
      <c r="C10" s="16" t="s">
        <v>65</v>
      </c>
      <c r="D10" s="22" t="s">
        <v>43</v>
      </c>
      <c r="E10" s="14"/>
      <c r="F10" s="17"/>
      <c r="G10" s="17"/>
      <c r="H10" s="17"/>
      <c r="I10" s="16" t="s">
        <v>45</v>
      </c>
      <c r="J10" s="17"/>
    </row>
    <row r="11" ht="15.75" customHeight="1">
      <c r="A11" s="10" t="s">
        <v>25</v>
      </c>
      <c r="B11" s="12" t="s">
        <v>66</v>
      </c>
      <c r="C11" s="16" t="s">
        <v>67</v>
      </c>
      <c r="D11" s="16" t="s">
        <v>14</v>
      </c>
      <c r="E11" s="14"/>
      <c r="F11" s="17"/>
      <c r="G11" s="17"/>
      <c r="H11" s="17"/>
      <c r="I11" s="16" t="s">
        <v>45</v>
      </c>
      <c r="J11" s="17"/>
    </row>
    <row r="12" ht="15.75" customHeight="1">
      <c r="A12" s="10" t="s">
        <v>25</v>
      </c>
      <c r="B12" s="12" t="s">
        <v>68</v>
      </c>
      <c r="C12" s="16" t="s">
        <v>69</v>
      </c>
      <c r="D12" s="16" t="s">
        <v>14</v>
      </c>
      <c r="E12" s="14" t="s">
        <v>70</v>
      </c>
      <c r="F12" s="17"/>
      <c r="G12" s="17"/>
      <c r="H12" s="17"/>
      <c r="I12" s="16" t="s">
        <v>49</v>
      </c>
      <c r="J12" s="17"/>
    </row>
    <row r="13" ht="15.75" customHeight="1">
      <c r="A13" s="10" t="s">
        <v>25</v>
      </c>
      <c r="B13" s="12" t="s">
        <v>71</v>
      </c>
      <c r="C13" s="16" t="s">
        <v>72</v>
      </c>
      <c r="D13" s="16" t="s">
        <v>14</v>
      </c>
      <c r="E13" s="14"/>
      <c r="F13" s="17"/>
      <c r="G13" s="17"/>
      <c r="H13" s="17"/>
      <c r="I13" s="16" t="s">
        <v>45</v>
      </c>
      <c r="J13" s="17"/>
    </row>
    <row r="14" ht="15.75" customHeight="1">
      <c r="A14" s="10" t="s">
        <v>25</v>
      </c>
      <c r="B14" s="12" t="s">
        <v>73</v>
      </c>
      <c r="C14" s="16" t="s">
        <v>74</v>
      </c>
      <c r="D14" s="16" t="s">
        <v>43</v>
      </c>
      <c r="E14" s="14"/>
      <c r="F14" s="17"/>
      <c r="G14" s="17"/>
      <c r="H14" s="17"/>
      <c r="I14" s="16" t="s">
        <v>45</v>
      </c>
      <c r="J14" s="17"/>
    </row>
    <row r="15" ht="15.75" customHeight="1">
      <c r="A15" s="10" t="s">
        <v>25</v>
      </c>
      <c r="B15" s="23" t="s">
        <v>75</v>
      </c>
      <c r="C15" s="16" t="s">
        <v>76</v>
      </c>
      <c r="D15" s="16" t="s">
        <v>43</v>
      </c>
      <c r="E15" s="14"/>
      <c r="F15" s="17"/>
      <c r="G15" s="17"/>
      <c r="H15" s="17"/>
      <c r="I15" s="16" t="s">
        <v>45</v>
      </c>
      <c r="J15" s="17"/>
    </row>
    <row r="16" ht="15.75" customHeight="1">
      <c r="A16" s="10" t="s">
        <v>25</v>
      </c>
      <c r="B16" s="23" t="s">
        <v>77</v>
      </c>
      <c r="C16" s="16" t="s">
        <v>78</v>
      </c>
      <c r="D16" s="16" t="s">
        <v>14</v>
      </c>
      <c r="E16" s="14"/>
      <c r="F16" s="17"/>
      <c r="G16" s="17"/>
      <c r="H16" s="17"/>
      <c r="I16" s="16" t="s">
        <v>79</v>
      </c>
      <c r="J16" s="17"/>
    </row>
    <row r="17" ht="15.75" customHeight="1">
      <c r="A17" s="10" t="s">
        <v>25</v>
      </c>
      <c r="B17" s="23" t="s">
        <v>80</v>
      </c>
      <c r="C17" s="16" t="s">
        <v>81</v>
      </c>
      <c r="D17" s="16" t="s">
        <v>14</v>
      </c>
      <c r="E17" s="14"/>
      <c r="F17" s="17"/>
      <c r="G17" s="17"/>
      <c r="H17" s="17"/>
      <c r="I17" s="16" t="s">
        <v>79</v>
      </c>
      <c r="J17" s="17"/>
    </row>
    <row r="18" ht="15.75" customHeight="1">
      <c r="A18" s="10" t="s">
        <v>25</v>
      </c>
      <c r="B18" s="23" t="s">
        <v>82</v>
      </c>
      <c r="C18" s="16" t="s">
        <v>83</v>
      </c>
      <c r="D18" s="16" t="s">
        <v>14</v>
      </c>
      <c r="E18" s="14"/>
      <c r="F18" s="17"/>
      <c r="G18" s="17"/>
      <c r="H18" s="17"/>
      <c r="I18" s="16" t="s">
        <v>79</v>
      </c>
      <c r="J18" s="17"/>
    </row>
    <row r="19" ht="15.75" customHeight="1">
      <c r="A19" s="10" t="s">
        <v>25</v>
      </c>
      <c r="B19" s="23" t="s">
        <v>84</v>
      </c>
      <c r="C19" s="16" t="s">
        <v>85</v>
      </c>
      <c r="D19" s="16" t="s">
        <v>14</v>
      </c>
      <c r="E19" s="14"/>
      <c r="F19" s="17"/>
      <c r="G19" s="17"/>
      <c r="H19" s="17"/>
      <c r="I19" s="16" t="s">
        <v>79</v>
      </c>
      <c r="J19" s="17"/>
    </row>
    <row r="20" ht="15.75" customHeight="1">
      <c r="A20" s="10" t="s">
        <v>25</v>
      </c>
      <c r="B20" s="23" t="s">
        <v>86</v>
      </c>
      <c r="C20" s="16" t="s">
        <v>87</v>
      </c>
      <c r="D20" s="16" t="s">
        <v>14</v>
      </c>
      <c r="E20" s="14"/>
      <c r="F20" s="17"/>
      <c r="G20" s="17"/>
      <c r="H20" s="17"/>
      <c r="I20" s="16" t="s">
        <v>79</v>
      </c>
      <c r="J20" s="17"/>
    </row>
    <row r="21" ht="15.75" customHeight="1">
      <c r="A21" s="10" t="s">
        <v>25</v>
      </c>
      <c r="B21" s="23" t="s">
        <v>88</v>
      </c>
      <c r="C21" s="16" t="s">
        <v>89</v>
      </c>
      <c r="D21" s="16" t="s">
        <v>14</v>
      </c>
      <c r="E21" s="14"/>
      <c r="F21" s="17"/>
      <c r="G21" s="17"/>
      <c r="H21" s="17"/>
      <c r="I21" s="16" t="s">
        <v>79</v>
      </c>
      <c r="J21" s="17"/>
    </row>
    <row r="22" ht="15.75" customHeight="1">
      <c r="A22" s="10" t="s">
        <v>25</v>
      </c>
      <c r="B22" s="23" t="s">
        <v>90</v>
      </c>
      <c r="C22" s="17" t="str">
        <f>IFERROR(__xludf.DUMMYFUNCTION("AI(""Preencha com um valor adequado para esta célula com base no contexto da tabela"")"),"Danos Humanos - Afetados por Seca e Estiagem")</f>
        <v>Danos Humanos - Afetados por Seca e Estiagem</v>
      </c>
      <c r="D22" s="16" t="s">
        <v>14</v>
      </c>
      <c r="E22" s="14"/>
      <c r="F22" s="17"/>
      <c r="G22" s="17"/>
      <c r="H22" s="17"/>
      <c r="I22" s="16" t="s">
        <v>79</v>
      </c>
      <c r="J22" s="17"/>
    </row>
    <row r="23" ht="15.75" customHeight="1">
      <c r="A23" s="10" t="s">
        <v>25</v>
      </c>
      <c r="B23" s="23" t="s">
        <v>91</v>
      </c>
      <c r="C23" s="17" t="str">
        <f>IFERROR(__xludf.DUMMYFUNCTION("AI(""Preencha com um valor adequado para esta célula com base no contexto da tabela"")"),"Danos Humanos - Total de Danos Humanos Diretos")</f>
        <v>Danos Humanos - Total de Danos Humanos Diretos</v>
      </c>
      <c r="D23" s="16" t="s">
        <v>14</v>
      </c>
      <c r="E23" s="14"/>
      <c r="F23" s="17"/>
      <c r="G23" s="17"/>
      <c r="H23" s="17"/>
      <c r="I23" s="16" t="s">
        <v>79</v>
      </c>
      <c r="J23" s="17"/>
    </row>
    <row r="24" ht="15.75" customHeight="1">
      <c r="A24" s="10" t="s">
        <v>25</v>
      </c>
      <c r="B24" s="23" t="s">
        <v>92</v>
      </c>
      <c r="C24" s="17" t="str">
        <f>IFERROR(__xludf.DUMMYFUNCTION("AI(""Preencha com um valor adequado para esta célula com base no contexto da tabela"")"),"Danos Humanos - Outros Afetados")</f>
        <v>Danos Humanos - Outros Afetados</v>
      </c>
      <c r="D24" s="16" t="s">
        <v>14</v>
      </c>
      <c r="E24" s="14"/>
      <c r="F24" s="17"/>
      <c r="G24" s="17"/>
      <c r="H24" s="17"/>
      <c r="I24" s="16" t="s">
        <v>79</v>
      </c>
      <c r="J24" s="17"/>
    </row>
    <row r="25" ht="15.75" customHeight="1">
      <c r="A25" s="10" t="s">
        <v>25</v>
      </c>
      <c r="B25" s="12" t="s">
        <v>93</v>
      </c>
      <c r="C25" s="17" t="str">
        <f>IFERROR(__xludf.DUMMYFUNCTION("AI(""Preencha com um valor adequado para esta célula com base no contexto da tabela"")"),"Danos Materiais - Descrição")</f>
        <v>Danos Materiais - Descrição</v>
      </c>
      <c r="D25" s="16" t="s">
        <v>43</v>
      </c>
      <c r="E25" s="14"/>
      <c r="F25" s="17"/>
      <c r="G25" s="17"/>
      <c r="H25" s="17"/>
      <c r="I25" s="16" t="s">
        <v>45</v>
      </c>
      <c r="J25" s="17"/>
    </row>
    <row r="26" ht="15.75" customHeight="1">
      <c r="A26" s="10" t="s">
        <v>25</v>
      </c>
      <c r="B26" s="12" t="s">
        <v>94</v>
      </c>
      <c r="C26" s="17" t="str">
        <f>IFERROR(__xludf.DUMMYFUNCTION("AI(""Preencha com um valor adequado para esta célula com base no contexto da tabela"")"),"Danos Materiais - Unidades Habitacionais Danificadas")</f>
        <v>Danos Materiais - Unidades Habitacionais Danificadas</v>
      </c>
      <c r="D26" s="17"/>
      <c r="E26" s="14"/>
      <c r="F26" s="17"/>
      <c r="G26" s="17"/>
      <c r="H26" s="17"/>
      <c r="I26" s="16" t="s">
        <v>79</v>
      </c>
      <c r="J26" s="17"/>
    </row>
    <row r="27" ht="15.75" customHeight="1">
      <c r="A27" s="10" t="s">
        <v>25</v>
      </c>
      <c r="B27" s="12" t="s">
        <v>95</v>
      </c>
      <c r="C27" s="17" t="str">
        <f>IFERROR(__xludf.DUMMYFUNCTION("AI(""Preencha com um valor adequado para esta célula com base no contexto da tabela"")"),"Danos Materiais - Unidades Habitacionais Destruídas")</f>
        <v>Danos Materiais - Unidades Habitacionais Destruídas</v>
      </c>
      <c r="D27" s="17"/>
      <c r="E27" s="14"/>
      <c r="F27" s="17"/>
      <c r="G27" s="17"/>
      <c r="H27" s="17"/>
      <c r="I27" s="16" t="s">
        <v>79</v>
      </c>
      <c r="J27" s="17"/>
    </row>
    <row r="28" ht="15.75" customHeight="1">
      <c r="A28" s="10" t="s">
        <v>25</v>
      </c>
      <c r="B28" s="12" t="s">
        <v>96</v>
      </c>
      <c r="C28" s="17" t="str">
        <f>IFERROR(__xludf.DUMMYFUNCTION("AI(""Preencha com um valor adequado para esta célula com base no contexto da tabela"")"),"Danos Materiais - Unidades Habitacionais - Valor")</f>
        <v>Danos Materiais - Unidades Habitacionais - Valor</v>
      </c>
      <c r="D28" s="17"/>
      <c r="E28" s="14"/>
      <c r="F28" s="17"/>
      <c r="G28" s="17"/>
      <c r="H28" s="17"/>
      <c r="I28" s="16" t="s">
        <v>79</v>
      </c>
      <c r="J28" s="17"/>
    </row>
    <row r="29" ht="15.75" customHeight="1">
      <c r="A29" s="10" t="s">
        <v>25</v>
      </c>
      <c r="B29" s="12" t="s">
        <v>97</v>
      </c>
      <c r="C29" s="17" t="str">
        <f>IFERROR(__xludf.DUMMYFUNCTION("AI(""Preencha com um valor adequado para esta célula com base no contexto da tabela"")"),"Danos Materiais - Instalações de Saúde Danificadas")</f>
        <v>Danos Materiais - Instalações de Saúde Danificadas</v>
      </c>
      <c r="D29" s="17"/>
      <c r="E29" s="14"/>
      <c r="F29" s="17"/>
      <c r="G29" s="17"/>
      <c r="H29" s="17"/>
      <c r="I29" s="16" t="s">
        <v>79</v>
      </c>
      <c r="J29" s="17"/>
    </row>
    <row r="30" ht="15.75" customHeight="1">
      <c r="A30" s="10" t="s">
        <v>25</v>
      </c>
      <c r="B30" s="12" t="s">
        <v>98</v>
      </c>
      <c r="C30" s="17" t="str">
        <f>IFERROR(__xludf.DUMMYFUNCTION("AI(""Preencha com um valor adequado para esta célula com base no contexto da tabela"")"),"Danos Materiais - Instalações de Saúde Destruídas")</f>
        <v>Danos Materiais - Instalações de Saúde Destruídas</v>
      </c>
      <c r="D30" s="17"/>
      <c r="E30" s="14"/>
      <c r="F30" s="17"/>
      <c r="G30" s="17"/>
      <c r="H30" s="17"/>
      <c r="I30" s="16" t="s">
        <v>79</v>
      </c>
      <c r="J30" s="17"/>
    </row>
    <row r="31" ht="15.75" customHeight="1">
      <c r="A31" s="10" t="s">
        <v>25</v>
      </c>
      <c r="B31" s="12" t="s">
        <v>99</v>
      </c>
      <c r="C31" s="17" t="str">
        <f>IFERROR(__xludf.DUMMYFUNCTION("AI(""Preencha com um valor adequado para esta célula com base no contexto da tabela"")"),"Danos Materiais - Instalações de Saúde - Valor")</f>
        <v>Danos Materiais - Instalações de Saúde - Valor</v>
      </c>
      <c r="D31" s="17"/>
      <c r="E31" s="14"/>
      <c r="F31" s="17"/>
      <c r="G31" s="17"/>
      <c r="H31" s="17"/>
      <c r="I31" s="16" t="s">
        <v>79</v>
      </c>
      <c r="J31" s="17"/>
    </row>
    <row r="32" ht="15.75" customHeight="1">
      <c r="A32" s="10" t="s">
        <v>25</v>
      </c>
      <c r="B32" s="12" t="s">
        <v>100</v>
      </c>
      <c r="C32" s="17" t="str">
        <f>IFERROR(__xludf.DUMMYFUNCTION("AI(""Preencha com um valor adequado para esta célula com base no contexto da tabela"")"),"Danos Materiais - Instalações de Ensino Danificadas")</f>
        <v>Danos Materiais - Instalações de Ensino Danificadas</v>
      </c>
      <c r="D32" s="17"/>
      <c r="E32" s="14"/>
      <c r="F32" s="17"/>
      <c r="G32" s="17"/>
      <c r="H32" s="17"/>
      <c r="I32" s="16" t="s">
        <v>79</v>
      </c>
      <c r="J32" s="17"/>
    </row>
    <row r="33" ht="15.75" customHeight="1">
      <c r="A33" s="10" t="s">
        <v>25</v>
      </c>
      <c r="B33" s="12" t="s">
        <v>101</v>
      </c>
      <c r="C33" s="17" t="str">
        <f>IFERROR(__xludf.DUMMYFUNCTION("AI(""Preencha com um valor adequado para esta célula com base no contexto da tabela"")"),"Danos Materiais - Instalações de Ensino Destruídas")</f>
        <v>Danos Materiais - Instalações de Ensino Destruídas</v>
      </c>
      <c r="D33" s="17"/>
      <c r="E33" s="14"/>
      <c r="F33" s="17"/>
      <c r="G33" s="17"/>
      <c r="H33" s="17"/>
      <c r="I33" s="16" t="s">
        <v>79</v>
      </c>
      <c r="J33" s="17"/>
    </row>
    <row r="34" ht="15.75" customHeight="1">
      <c r="A34" s="10" t="s">
        <v>25</v>
      </c>
      <c r="B34" s="12" t="s">
        <v>102</v>
      </c>
      <c r="C34" s="17" t="str">
        <f>IFERROR(__xludf.DUMMYFUNCTION("AI(""Preencha com um valor adequado para esta célula com base no contexto da tabela"")"),"Danos Materiais - Instalações de Ensino - Valor (R$)")</f>
        <v>Danos Materiais - Instalações de Ensino - Valor (R$)</v>
      </c>
      <c r="D34" s="17"/>
      <c r="E34" s="14"/>
      <c r="F34" s="17"/>
      <c r="G34" s="17"/>
      <c r="H34" s="17"/>
      <c r="I34" s="16" t="s">
        <v>79</v>
      </c>
      <c r="J34" s="17"/>
    </row>
    <row r="35" ht="15.75" customHeight="1">
      <c r="A35" s="10" t="s">
        <v>25</v>
      </c>
      <c r="B35" s="12" t="s">
        <v>103</v>
      </c>
      <c r="C35" s="17" t="str">
        <f>IFERROR(__xludf.DUMMYFUNCTION("AI(""Preencha com um valor adequado para esta célula com base no contexto da tabela"")"),"Danos Materiais - Instalações de Serviços Danificadas")</f>
        <v>Danos Materiais - Instalações de Serviços Danificadas</v>
      </c>
      <c r="D35" s="17"/>
      <c r="E35" s="14"/>
      <c r="F35" s="17"/>
      <c r="G35" s="17"/>
      <c r="H35" s="17"/>
      <c r="I35" s="16" t="s">
        <v>79</v>
      </c>
      <c r="J35" s="17"/>
    </row>
    <row r="36" ht="15.75" customHeight="1">
      <c r="A36" s="10" t="s">
        <v>25</v>
      </c>
      <c r="B36" s="12" t="s">
        <v>104</v>
      </c>
      <c r="C36" s="17" t="str">
        <f>IFERROR(__xludf.DUMMYFUNCTION("AI(""Preencha com um valor adequado para esta célula com base no contexto da tabela"")"),"Danos Materiais - Instalações de Serviços Destruídas")</f>
        <v>Danos Materiais - Instalações de Serviços Destruídas</v>
      </c>
      <c r="D36" s="17"/>
      <c r="E36" s="14"/>
      <c r="F36" s="17"/>
      <c r="G36" s="17"/>
      <c r="H36" s="17"/>
      <c r="I36" s="16" t="s">
        <v>79</v>
      </c>
      <c r="J36" s="17"/>
    </row>
    <row r="37" ht="15.75" customHeight="1">
      <c r="A37" s="10" t="s">
        <v>25</v>
      </c>
      <c r="B37" s="12" t="s">
        <v>105</v>
      </c>
      <c r="C37" s="17" t="str">
        <f>IFERROR(__xludf.DUMMYFUNCTION("AI(""Preencha com um valor adequado para esta célula com base no contexto da tabela"")"),"Danos Materiais - Instalações de Serviços - Valor")</f>
        <v>Danos Materiais - Instalações de Serviços - Valor</v>
      </c>
      <c r="D37" s="17"/>
      <c r="E37" s="14"/>
      <c r="F37" s="17"/>
      <c r="G37" s="17"/>
      <c r="H37" s="17"/>
      <c r="I37" s="16" t="s">
        <v>79</v>
      </c>
      <c r="J37" s="17"/>
    </row>
    <row r="38" ht="15.75" customHeight="1">
      <c r="A38" s="10" t="s">
        <v>25</v>
      </c>
      <c r="B38" s="12" t="s">
        <v>106</v>
      </c>
      <c r="C38" s="17" t="str">
        <f>IFERROR(__xludf.DUMMYFUNCTION("AI(""Preencha com um valor adequado para esta célula com base no contexto da tabela"")"),"Danos Materiais - Instalações Comunitárias Danificadas")</f>
        <v>Danos Materiais - Instalações Comunitárias Danificadas</v>
      </c>
      <c r="D38" s="17"/>
      <c r="E38" s="14"/>
      <c r="F38" s="17"/>
      <c r="G38" s="17"/>
      <c r="H38" s="17"/>
      <c r="I38" s="16" t="s">
        <v>79</v>
      </c>
      <c r="J38" s="17"/>
    </row>
    <row r="39" ht="15.75" customHeight="1">
      <c r="A39" s="10" t="s">
        <v>25</v>
      </c>
      <c r="B39" s="12" t="s">
        <v>107</v>
      </c>
      <c r="C39" s="17" t="str">
        <f>IFERROR(__xludf.DUMMYFUNCTION("AI(""Preencha com um valor adequado para esta célula com base no contexto da tabela"")"),"Danos Materiais - Instalações Comunitárias Destruídas")</f>
        <v>Danos Materiais - Instalações Comunitárias Destruídas</v>
      </c>
      <c r="D39" s="17"/>
      <c r="E39" s="14"/>
      <c r="F39" s="17"/>
      <c r="G39" s="17"/>
      <c r="H39" s="17"/>
      <c r="I39" s="16" t="s">
        <v>79</v>
      </c>
      <c r="J39" s="17"/>
    </row>
    <row r="40" ht="15.75" customHeight="1">
      <c r="A40" s="10" t="s">
        <v>25</v>
      </c>
      <c r="B40" s="12" t="s">
        <v>108</v>
      </c>
      <c r="C40" s="17" t="str">
        <f>IFERROR(__xludf.DUMMYFUNCTION("AI(""Preencha com um valor adequado para esta célula com base no contexto da tabela"")"),"Danos Materiais - Instalações Comunitárias - Valor")</f>
        <v>Danos Materiais - Instalações Comunitárias - Valor</v>
      </c>
      <c r="D40" s="17"/>
      <c r="E40" s="14"/>
      <c r="F40" s="17"/>
      <c r="G40" s="17"/>
      <c r="H40" s="17"/>
      <c r="I40" s="16" t="s">
        <v>79</v>
      </c>
      <c r="J40" s="17"/>
    </row>
    <row r="41" ht="15.75" customHeight="1">
      <c r="A41" s="10" t="s">
        <v>25</v>
      </c>
      <c r="B41" s="12" t="s">
        <v>109</v>
      </c>
      <c r="C41" s="17" t="str">
        <f>IFERROR(__xludf.DUMMYFUNCTION("AI(""Preencha com um valor adequado para esta célula com base no contexto da tabela"")"),"Danos Materiais - Obras de Infraestrutura Danificadas")</f>
        <v>Danos Materiais - Obras de Infraestrutura Danificadas</v>
      </c>
      <c r="D41" s="17"/>
      <c r="E41" s="14"/>
      <c r="F41" s="17"/>
      <c r="G41" s="17"/>
      <c r="H41" s="17"/>
      <c r="I41" s="16" t="s">
        <v>79</v>
      </c>
      <c r="J41" s="17"/>
    </row>
    <row r="42" ht="15.75" customHeight="1">
      <c r="A42" s="10" t="s">
        <v>25</v>
      </c>
      <c r="B42" s="12" t="s">
        <v>110</v>
      </c>
      <c r="C42" s="17" t="str">
        <f>IFERROR(__xludf.DUMMYFUNCTION("AI(""Preencha com um valor adequado para esta célula com base no contexto da tabela"")"),"Danos Materiais - Obras de Infraestrutura Destruídas")</f>
        <v>Danos Materiais - Obras de Infraestrutura Destruídas</v>
      </c>
      <c r="D42" s="17"/>
      <c r="E42" s="14"/>
      <c r="F42" s="17"/>
      <c r="G42" s="17"/>
      <c r="H42" s="17"/>
      <c r="I42" s="16" t="s">
        <v>79</v>
      </c>
      <c r="J42" s="17"/>
    </row>
    <row r="43" ht="15.75" customHeight="1">
      <c r="A43" s="10" t="s">
        <v>25</v>
      </c>
      <c r="B43" s="12" t="s">
        <v>111</v>
      </c>
      <c r="C43" s="17" t="str">
        <f>IFERROR(__xludf.DUMMYFUNCTION("AI(""Preencha com um valor adequado para esta célula com base no contexto da tabela"")"),"Danos Materiais - Obras de Infraestrutura - Valor")</f>
        <v>Danos Materiais - Obras de Infraestrutura - Valor</v>
      </c>
      <c r="D43" s="17"/>
      <c r="E43" s="14"/>
      <c r="F43" s="17"/>
      <c r="G43" s="17"/>
      <c r="H43" s="17"/>
      <c r="I43" s="16" t="s">
        <v>79</v>
      </c>
      <c r="J43" s="17"/>
    </row>
    <row r="44" ht="15.75" customHeight="1">
      <c r="A44" s="10" t="s">
        <v>25</v>
      </c>
      <c r="B44" s="12" t="s">
        <v>112</v>
      </c>
      <c r="C44" s="17" t="str">
        <f>IFERROR(__xludf.DUMMYFUNCTION("AI(""Preencha com um valor adequado para esta célula com base no contexto da tabela"")"),"Danos Materiais - Total de Danos Materiais")</f>
        <v>Danos Materiais - Total de Danos Materiais</v>
      </c>
      <c r="D44" s="17"/>
      <c r="E44" s="14"/>
      <c r="F44" s="17"/>
      <c r="G44" s="17"/>
      <c r="H44" s="17"/>
      <c r="I44" s="16" t="s">
        <v>79</v>
      </c>
      <c r="J44" s="17"/>
    </row>
    <row r="45" ht="15.75" customHeight="1">
      <c r="A45" s="10" t="s">
        <v>25</v>
      </c>
      <c r="B45" s="23" t="s">
        <v>113</v>
      </c>
      <c r="C45" s="17" t="str">
        <f>IFERROR(__xludf.DUMMYFUNCTION("AI(""Preencha com um valor adequado para esta célula com base no contexto da tabela"")"),"Danos Ambientais - Descrição")</f>
        <v>Danos Ambientais - Descrição</v>
      </c>
      <c r="D45" s="17"/>
      <c r="E45" s="14"/>
      <c r="F45" s="17"/>
      <c r="G45" s="17"/>
      <c r="H45" s="17"/>
      <c r="I45" s="16" t="s">
        <v>45</v>
      </c>
      <c r="J45" s="17"/>
    </row>
    <row r="46" ht="15.75" customHeight="1">
      <c r="A46" s="10" t="s">
        <v>25</v>
      </c>
      <c r="B46" s="23" t="s">
        <v>114</v>
      </c>
      <c r="C46" s="17" t="str">
        <f>IFERROR(__xludf.DUMMYFUNCTION("AI(""Preencha com um valor adequado para esta célula com base no contexto da tabela"")"),"Danos Ambientais - Poluição ou Contaminação da Água")</f>
        <v>Danos Ambientais - Poluição ou Contaminação da Água</v>
      </c>
      <c r="D46" s="17"/>
      <c r="E46" s="14"/>
      <c r="F46" s="17"/>
      <c r="G46" s="17"/>
      <c r="H46" s="17"/>
      <c r="I46" s="16" t="s">
        <v>61</v>
      </c>
      <c r="J46" s="17"/>
    </row>
    <row r="47" ht="15.75" customHeight="1">
      <c r="A47" s="10" t="s">
        <v>25</v>
      </c>
      <c r="B47" s="23" t="s">
        <v>115</v>
      </c>
      <c r="C47" s="17" t="str">
        <f>IFERROR(__xludf.DUMMYFUNCTION("AI(""Preencha com um valor adequado para esta célula com base no contexto da tabela"")"),"Danos Ambientais - Poluição e Contaminação do Ar")</f>
        <v>Danos Ambientais - Poluição e Contaminação do Ar</v>
      </c>
      <c r="D47" s="17"/>
      <c r="E47" s="14"/>
      <c r="F47" s="17"/>
      <c r="G47" s="17"/>
      <c r="H47" s="17"/>
      <c r="I47" s="16" t="s">
        <v>61</v>
      </c>
      <c r="J47" s="17"/>
    </row>
    <row r="48" ht="15.75" customHeight="1">
      <c r="A48" s="10" t="s">
        <v>25</v>
      </c>
      <c r="B48" s="23" t="s">
        <v>116</v>
      </c>
      <c r="C48" s="17" t="str">
        <f>IFERROR(__xludf.DUMMYFUNCTION("AI(""Preencha com um valor adequado para esta célula com base no contexto da tabela"")"),"Danos Ambientais - Poluição/Contaminação do Solo")</f>
        <v>Danos Ambientais - Poluição/Contaminação do Solo</v>
      </c>
      <c r="D48" s="17"/>
      <c r="E48" s="14"/>
      <c r="F48" s="17"/>
      <c r="G48" s="17"/>
      <c r="H48" s="17"/>
      <c r="I48" s="16" t="s">
        <v>61</v>
      </c>
      <c r="J48" s="17"/>
    </row>
    <row r="49" ht="15.75" customHeight="1">
      <c r="A49" s="10" t="s">
        <v>25</v>
      </c>
      <c r="B49" s="23" t="s">
        <v>117</v>
      </c>
      <c r="C49" s="17" t="str">
        <f>IFERROR(__xludf.DUMMYFUNCTION("AI(""Preencha com um valor adequado para esta célula com base no contexto da tabela"")"),"Danos Ambientais - Diminuição ou Exaustão de Recursos Hídricos")</f>
        <v>Danos Ambientais - Diminuição ou Exaustão de Recursos Hídricos</v>
      </c>
      <c r="D49" s="17"/>
      <c r="E49" s="14"/>
      <c r="F49" s="17"/>
      <c r="G49" s="17"/>
      <c r="H49" s="17"/>
      <c r="I49" s="16" t="s">
        <v>61</v>
      </c>
      <c r="J49" s="17"/>
    </row>
    <row r="50" ht="15.75" customHeight="1">
      <c r="A50" s="10" t="s">
        <v>25</v>
      </c>
      <c r="B50" s="23" t="s">
        <v>118</v>
      </c>
      <c r="C50" s="17" t="str">
        <f>IFERROR(__xludf.DUMMYFUNCTION("AI(""Preencha com um valor adequado para esta célula com base no contexto da tabela"")"),"Danos Ambientais - Incêndios em Parques, APAs e APPs")</f>
        <v>Danos Ambientais - Incêndios em Parques, APAs e APPs</v>
      </c>
      <c r="D50" s="17"/>
      <c r="E50" s="14"/>
      <c r="F50" s="17"/>
      <c r="G50" s="17"/>
      <c r="H50" s="17"/>
      <c r="I50" s="16" t="s">
        <v>61</v>
      </c>
      <c r="J50" s="17"/>
    </row>
    <row r="51" ht="15.75" customHeight="1">
      <c r="A51" s="10" t="s">
        <v>25</v>
      </c>
      <c r="B51" s="12" t="s">
        <v>119</v>
      </c>
      <c r="C51" s="17" t="str">
        <f>IFERROR(__xludf.DUMMYFUNCTION("AI(""Preencha com um valor adequado para esta célula com base no contexto da tabela"")"),"Prejuízos Econômicos Públicos - Descrição")</f>
        <v>Prejuízos Econômicos Públicos - Descrição</v>
      </c>
      <c r="D51" s="17"/>
      <c r="E51" s="14"/>
      <c r="F51" s="17"/>
      <c r="G51" s="17"/>
      <c r="H51" s="17"/>
      <c r="I51" s="16" t="s">
        <v>45</v>
      </c>
      <c r="J51" s="17"/>
    </row>
    <row r="52" ht="15.75" customHeight="1">
      <c r="A52" s="10" t="s">
        <v>25</v>
      </c>
      <c r="B52" s="12" t="s">
        <v>120</v>
      </c>
      <c r="C52" s="17" t="str">
        <f>IFERROR(__xludf.DUMMYFUNCTION("AI(""Preencha com um valor adequado para esta célula com base no contexto da tabela"")"),"Prejuízos Econômicos Públicos - Assistência Médica e Emergencial")</f>
        <v>Prejuízos Econômicos Públicos - Assistência Médica e Emergencial</v>
      </c>
      <c r="D52" s="17"/>
      <c r="E52" s="14"/>
      <c r="F52" s="17"/>
      <c r="G52" s="17"/>
      <c r="H52" s="17"/>
      <c r="I52" s="16" t="s">
        <v>79</v>
      </c>
      <c r="J52" s="17"/>
    </row>
    <row r="53" ht="15.75" customHeight="1">
      <c r="A53" s="10" t="s">
        <v>25</v>
      </c>
      <c r="B53" s="12" t="s">
        <v>121</v>
      </c>
      <c r="C53" s="17" t="str">
        <f>IFERROR(__xludf.DUMMYFUNCTION("AI(""Preencha com um valor adequado para esta célula com base no contexto da tabela"")"),"Prejuízos Econômicos Públicos - Abastecimento de Água Potável (R$)")</f>
        <v>Prejuízos Econômicos Públicos - Abastecimento de Água Potável (R$)</v>
      </c>
      <c r="D53" s="17"/>
      <c r="E53" s="14"/>
      <c r="F53" s="17"/>
      <c r="G53" s="17"/>
      <c r="H53" s="17"/>
      <c r="I53" s="16" t="s">
        <v>79</v>
      </c>
      <c r="J53" s="17"/>
    </row>
    <row r="54" ht="15.75" customHeight="1">
      <c r="A54" s="10" t="s">
        <v>25</v>
      </c>
      <c r="B54" s="12" t="s">
        <v>122</v>
      </c>
      <c r="C54" s="17" t="str">
        <f>IFERROR(__xludf.DUMMYFUNCTION("AI(""Preencha com um valor adequado para esta célula com base no contexto da tabela"")"),"Prejuízos Econômicos Públicos - Sistema de Esgoto Sanitário")</f>
        <v>Prejuízos Econômicos Públicos - Sistema de Esgoto Sanitário</v>
      </c>
      <c r="D54" s="17"/>
      <c r="E54" s="14"/>
      <c r="F54" s="17"/>
      <c r="G54" s="17"/>
      <c r="H54" s="17"/>
      <c r="I54" s="16" t="s">
        <v>79</v>
      </c>
      <c r="J54" s="17"/>
    </row>
    <row r="55" ht="15.75" customHeight="1">
      <c r="A55" s="10" t="s">
        <v>25</v>
      </c>
      <c r="B55" s="12" t="s">
        <v>123</v>
      </c>
      <c r="C55" s="17" t="str">
        <f>IFERROR(__xludf.DUMMYFUNCTION("AI(""Preencha com um valor adequado para esta célula com base no contexto da tabela"")"),"Prejuízos Econômicos Públicos - Sistema de Limpeza Urbana e Recolhimento de Lixo (R$)")</f>
        <v>Prejuízos Econômicos Públicos - Sistema de Limpeza Urbana e Recolhimento de Lixo (R$)</v>
      </c>
      <c r="D55" s="17"/>
      <c r="E55" s="14"/>
      <c r="F55" s="17"/>
      <c r="G55" s="17"/>
      <c r="H55" s="17"/>
      <c r="I55" s="16" t="s">
        <v>79</v>
      </c>
      <c r="J55" s="17"/>
    </row>
    <row r="56" ht="15.75" customHeight="1">
      <c r="A56" s="10" t="s">
        <v>25</v>
      </c>
      <c r="B56" s="12" t="s">
        <v>124</v>
      </c>
      <c r="C56" s="17" t="str">
        <f>IFERROR(__xludf.DUMMYFUNCTION("AI(""Preencha com um valor adequado para esta célula com base no contexto da tabela"")"),"Prejuízos Econômicos Públicos - Sistema de Controle de Pragas (R$)")</f>
        <v>Prejuízos Econômicos Públicos - Sistema de Controle de Pragas (R$)</v>
      </c>
      <c r="D56" s="17"/>
      <c r="E56" s="14"/>
      <c r="F56" s="17"/>
      <c r="G56" s="17"/>
      <c r="H56" s="17"/>
      <c r="I56" s="16" t="s">
        <v>79</v>
      </c>
      <c r="J56" s="17"/>
    </row>
    <row r="57" ht="15.75" customHeight="1">
      <c r="A57" s="10" t="s">
        <v>25</v>
      </c>
      <c r="B57" s="12" t="s">
        <v>125</v>
      </c>
      <c r="C57" s="17" t="str">
        <f>IFERROR(__xludf.DUMMYFUNCTION("AI(""Preencha com um valor adequado para esta célula com base no contexto da tabela"")"),"Prejuízos Econômicos Públicos - Distribuição de Energia Elétrica")</f>
        <v>Prejuízos Econômicos Públicos - Distribuição de Energia Elétrica</v>
      </c>
      <c r="D57" s="17"/>
      <c r="E57" s="14"/>
      <c r="F57" s="17"/>
      <c r="G57" s="17"/>
      <c r="H57" s="17"/>
      <c r="I57" s="16" t="s">
        <v>79</v>
      </c>
      <c r="J57" s="17"/>
    </row>
    <row r="58" ht="15.75" customHeight="1">
      <c r="A58" s="10" t="s">
        <v>25</v>
      </c>
      <c r="B58" s="12" t="s">
        <v>126</v>
      </c>
      <c r="C58" s="17" t="str">
        <f>IFERROR(__xludf.DUMMYFUNCTION("AI(""Preencha com um valor adequado para esta célula com base no contexto da tabela"")"),"Prejuízos Econômicos Públicos - Telecomunicações")</f>
        <v>Prejuízos Econômicos Públicos - Telecomunicações</v>
      </c>
      <c r="D58" s="17"/>
      <c r="E58" s="14"/>
      <c r="F58" s="17"/>
      <c r="G58" s="17"/>
      <c r="H58" s="17"/>
      <c r="I58" s="16" t="s">
        <v>79</v>
      </c>
      <c r="J58" s="17"/>
    </row>
    <row r="59" ht="15.75" customHeight="1">
      <c r="A59" s="10" t="s">
        <v>25</v>
      </c>
      <c r="B59" s="12" t="s">
        <v>127</v>
      </c>
      <c r="C59" s="17" t="str">
        <f>IFERROR(__xludf.DUMMYFUNCTION("AI(""Preencha com um valor adequado para esta célula com base no contexto da tabela"")"),"Prejuízos Econômicos Públicos - Transportes Locais e Regionais (R$)")</f>
        <v>Prejuízos Econômicos Públicos - Transportes Locais e Regionais (R$)</v>
      </c>
      <c r="D59" s="17"/>
      <c r="E59" s="14"/>
      <c r="F59" s="17"/>
      <c r="G59" s="17"/>
      <c r="H59" s="17"/>
      <c r="I59" s="16" t="s">
        <v>79</v>
      </c>
      <c r="J59" s="17"/>
    </row>
    <row r="60" ht="15.75" customHeight="1">
      <c r="A60" s="10" t="s">
        <v>25</v>
      </c>
      <c r="B60" s="12" t="s">
        <v>128</v>
      </c>
      <c r="C60" s="17" t="str">
        <f>IFERROR(__xludf.DUMMYFUNCTION("AI(""Preencha com um valor adequado para esta célula com base no contexto da tabela"")"),"Prejuízos Econômicos Públicos - Distribuição de Combustíveis")</f>
        <v>Prejuízos Econômicos Públicos - Distribuição de Combustíveis</v>
      </c>
      <c r="D60" s="17"/>
      <c r="E60" s="14"/>
      <c r="F60" s="17"/>
      <c r="G60" s="17"/>
      <c r="H60" s="17"/>
      <c r="I60" s="16" t="s">
        <v>79</v>
      </c>
      <c r="J60" s="17"/>
    </row>
    <row r="61" ht="15.75" customHeight="1">
      <c r="A61" s="10" t="s">
        <v>25</v>
      </c>
      <c r="B61" s="12" t="s">
        <v>129</v>
      </c>
      <c r="C61" s="17" t="str">
        <f>IFERROR(__xludf.DUMMYFUNCTION("AI(""Preencha com um valor adequado para esta célula com base no contexto da tabela"")"),"Prejuízos Econômicos Públicos - Segurança Pública (R$)")</f>
        <v>Prejuízos Econômicos Públicos - Segurança Pública (R$)</v>
      </c>
      <c r="D61" s="17"/>
      <c r="E61" s="14"/>
      <c r="F61" s="17"/>
      <c r="G61" s="17"/>
      <c r="H61" s="17"/>
      <c r="I61" s="16" t="s">
        <v>79</v>
      </c>
      <c r="J61" s="17"/>
    </row>
    <row r="62" ht="15.75" customHeight="1">
      <c r="A62" s="10" t="s">
        <v>25</v>
      </c>
      <c r="B62" s="12" t="s">
        <v>130</v>
      </c>
      <c r="C62" s="17" t="str">
        <f>IFERROR(__xludf.DUMMYFUNCTION("AI(""Preencha com um valor adequado para esta célula com base no contexto da tabela"")"),"Prejuízos Econômicos Públicos - Ensino")</f>
        <v>Prejuízos Econômicos Públicos - Ensino</v>
      </c>
      <c r="D62" s="17"/>
      <c r="E62" s="14"/>
      <c r="F62" s="17"/>
      <c r="G62" s="17"/>
      <c r="H62" s="17"/>
      <c r="I62" s="16" t="s">
        <v>79</v>
      </c>
      <c r="J62" s="17"/>
    </row>
    <row r="63" ht="15.75" customHeight="1">
      <c r="A63" s="10" t="s">
        <v>25</v>
      </c>
      <c r="B63" s="12" t="s">
        <v>131</v>
      </c>
      <c r="C63" s="17" t="str">
        <f>IFERROR(__xludf.DUMMYFUNCTION("AI(""Preencha com um valor adequado para esta célula com base no contexto da tabela"")"),"Prejuízos Econômicos Públicos - Total de Prejuízos Públicos")</f>
        <v>Prejuízos Econômicos Públicos - Total de Prejuízos Públicos</v>
      </c>
      <c r="D63" s="17"/>
      <c r="E63" s="14"/>
      <c r="F63" s="17"/>
      <c r="G63" s="17"/>
      <c r="H63" s="17"/>
      <c r="I63" s="16" t="s">
        <v>79</v>
      </c>
      <c r="J63" s="17"/>
    </row>
    <row r="64" ht="15.75" customHeight="1">
      <c r="A64" s="10" t="s">
        <v>25</v>
      </c>
      <c r="B64" s="23" t="s">
        <v>132</v>
      </c>
      <c r="C64" s="17" t="str">
        <f>IFERROR(__xludf.DUMMYFUNCTION("AI(""Preencha com um valor adequado para esta célula com base no contexto da tabela"")"),"Prejuízos Econômicos Privados - Descrição")</f>
        <v>Prejuízos Econômicos Privados - Descrição</v>
      </c>
      <c r="D64" s="17"/>
      <c r="E64" s="14"/>
      <c r="F64" s="17"/>
      <c r="G64" s="17"/>
      <c r="H64" s="17"/>
      <c r="I64" s="16" t="s">
        <v>45</v>
      </c>
      <c r="J64" s="17"/>
    </row>
    <row r="65" ht="15.75" customHeight="1">
      <c r="A65" s="10" t="s">
        <v>25</v>
      </c>
      <c r="B65" s="23" t="s">
        <v>133</v>
      </c>
      <c r="C65" s="17" t="str">
        <f>IFERROR(__xludf.DUMMYFUNCTION("AI(""Preencha com um valor adequado para esta célula com base no contexto da tabela"")"),"Prejuízos Econômicos Privados - Agricultura")</f>
        <v>Prejuízos Econômicos Privados - Agricultura</v>
      </c>
      <c r="D65" s="17"/>
      <c r="E65" s="14"/>
      <c r="F65" s="17"/>
      <c r="G65" s="17"/>
      <c r="H65" s="17"/>
      <c r="I65" s="16" t="s">
        <v>79</v>
      </c>
      <c r="J65" s="17"/>
    </row>
    <row r="66" ht="15.75" customHeight="1">
      <c r="A66" s="10" t="s">
        <v>25</v>
      </c>
      <c r="B66" s="23" t="s">
        <v>134</v>
      </c>
      <c r="C66" s="17" t="str">
        <f>IFERROR(__xludf.DUMMYFUNCTION("AI(""Preencha com um valor adequado para esta célula com base no contexto da tabela"")"),"Prejuízos Econômicos Privados - Pecuária")</f>
        <v>Prejuízos Econômicos Privados - Pecuária</v>
      </c>
      <c r="D66" s="17"/>
      <c r="E66" s="14"/>
      <c r="F66" s="17"/>
      <c r="G66" s="17"/>
      <c r="H66" s="17"/>
      <c r="I66" s="16" t="s">
        <v>79</v>
      </c>
      <c r="J66" s="17"/>
    </row>
    <row r="67" ht="15.75" customHeight="1">
      <c r="A67" s="10" t="s">
        <v>25</v>
      </c>
      <c r="B67" s="23" t="s">
        <v>135</v>
      </c>
      <c r="C67" s="17" t="str">
        <f>IFERROR(__xludf.DUMMYFUNCTION("AI(""Preencha com um valor adequado para esta célula com base no contexto da tabela"")"),"Prejuízos Econômicos Privados - Indústria")</f>
        <v>Prejuízos Econômicos Privados - Indústria</v>
      </c>
      <c r="D67" s="17"/>
      <c r="E67" s="14"/>
      <c r="F67" s="17"/>
      <c r="G67" s="17"/>
      <c r="H67" s="17"/>
      <c r="I67" s="16" t="s">
        <v>79</v>
      </c>
      <c r="J67" s="17"/>
    </row>
    <row r="68" ht="15.75" customHeight="1">
      <c r="A68" s="10" t="s">
        <v>25</v>
      </c>
      <c r="B68" s="23" t="s">
        <v>136</v>
      </c>
      <c r="C68" s="17" t="str">
        <f>IFERROR(__xludf.DUMMYFUNCTION("AI(""Preencha com um valor adequado para esta célula com base no contexto da tabela"")"),"Prejuízos Econômicos Privados - Comércio")</f>
        <v>Prejuízos Econômicos Privados - Comércio</v>
      </c>
      <c r="D68" s="17"/>
      <c r="E68" s="14"/>
      <c r="F68" s="17"/>
      <c r="G68" s="17"/>
      <c r="H68" s="17"/>
      <c r="I68" s="16" t="s">
        <v>79</v>
      </c>
      <c r="J68" s="17"/>
    </row>
    <row r="69" ht="15.75" customHeight="1">
      <c r="A69" s="10" t="s">
        <v>25</v>
      </c>
      <c r="B69" s="23" t="s">
        <v>137</v>
      </c>
      <c r="C69" s="17" t="str">
        <f>IFERROR(__xludf.DUMMYFUNCTION("AI(""Preencha com um valor adequado para esta célula com base no contexto da tabela"")"),"Prejuízos Econômicos Privados - Serviços")</f>
        <v>Prejuízos Econômicos Privados - Serviços</v>
      </c>
      <c r="D69" s="17"/>
      <c r="E69" s="14"/>
      <c r="F69" s="17"/>
      <c r="G69" s="17"/>
      <c r="H69" s="17"/>
      <c r="I69" s="16" t="s">
        <v>79</v>
      </c>
      <c r="J69" s="17"/>
    </row>
    <row r="70" ht="15.75" customHeight="1">
      <c r="A70" s="10" t="s">
        <v>25</v>
      </c>
      <c r="B70" s="23" t="s">
        <v>138</v>
      </c>
      <c r="C70" s="17" t="str">
        <f>IFERROR(__xludf.DUMMYFUNCTION("AI(""Preencha com um valor adequado para esta célula com base no contexto da tabela"")"),"Prejuízos Econômicos Privados - Total de Prejuízos Privados")</f>
        <v>Prejuízos Econômicos Privados - Total de Prejuízos Privados</v>
      </c>
      <c r="D70" s="17"/>
      <c r="E70" s="14"/>
      <c r="F70" s="17"/>
      <c r="G70" s="17"/>
      <c r="H70" s="17"/>
      <c r="I70" s="16" t="s">
        <v>79</v>
      </c>
      <c r="J70" s="17"/>
    </row>
    <row r="71" ht="15.75" customHeight="1">
      <c r="A71" s="10" t="s">
        <v>25</v>
      </c>
      <c r="B71" s="23" t="s">
        <v>139</v>
      </c>
      <c r="C71" s="17" t="str">
        <f>IFERROR(__xludf.DUMMYFUNCTION("AI(""Preencha com um valor adequado para esta célula com base no contexto da tabela"")"),"Prejuízos Econômicos - Totais")</f>
        <v>Prejuízos Econômicos - Totais</v>
      </c>
      <c r="D71" s="17"/>
      <c r="E71" s="14"/>
      <c r="F71" s="17"/>
      <c r="G71" s="17"/>
      <c r="H71" s="17"/>
      <c r="I71" s="16" t="s">
        <v>79</v>
      </c>
      <c r="J71" s="17"/>
    </row>
    <row r="72" ht="15.75" customHeight="1">
      <c r="A72" s="13" t="s">
        <v>39</v>
      </c>
      <c r="B72" s="24" t="s">
        <v>140</v>
      </c>
      <c r="C72" s="13" t="s">
        <v>69</v>
      </c>
      <c r="D72" s="25"/>
      <c r="E72" s="26"/>
      <c r="F72" s="25"/>
      <c r="G72" s="25"/>
      <c r="H72" s="25"/>
      <c r="I72" s="25"/>
      <c r="J72" s="25"/>
    </row>
    <row r="73" ht="15.75" customHeight="1">
      <c r="A73" s="13" t="s">
        <v>39</v>
      </c>
      <c r="B73" s="24" t="s">
        <v>141</v>
      </c>
      <c r="C73" s="13" t="s">
        <v>142</v>
      </c>
      <c r="D73" s="25"/>
      <c r="E73" s="26"/>
      <c r="F73" s="25"/>
      <c r="G73" s="25"/>
      <c r="H73" s="25"/>
      <c r="I73" s="24" t="s">
        <v>45</v>
      </c>
      <c r="J73" s="25"/>
    </row>
    <row r="74" ht="15.75" customHeight="1">
      <c r="A74" s="13" t="s">
        <v>39</v>
      </c>
      <c r="B74" s="24" t="s">
        <v>143</v>
      </c>
      <c r="C74" s="13" t="s">
        <v>144</v>
      </c>
      <c r="D74" s="25"/>
      <c r="E74" s="26"/>
      <c r="F74" s="25"/>
      <c r="G74" s="25"/>
      <c r="H74" s="25"/>
      <c r="I74" s="24" t="s">
        <v>45</v>
      </c>
      <c r="J74" s="25"/>
    </row>
    <row r="75" ht="15.75" customHeight="1">
      <c r="A75" s="13" t="s">
        <v>39</v>
      </c>
      <c r="B75" s="24" t="s">
        <v>145</v>
      </c>
      <c r="C75" s="13" t="s">
        <v>146</v>
      </c>
      <c r="D75" s="25"/>
      <c r="E75" s="26"/>
      <c r="F75" s="25"/>
      <c r="G75" s="25"/>
      <c r="H75" s="25"/>
      <c r="I75" s="27"/>
      <c r="J75" s="25"/>
    </row>
    <row r="76" ht="15.75" customHeight="1">
      <c r="A76" s="13" t="s">
        <v>39</v>
      </c>
      <c r="B76" s="24" t="s">
        <v>147</v>
      </c>
      <c r="C76" s="13" t="s">
        <v>148</v>
      </c>
      <c r="D76" s="25"/>
      <c r="E76" s="26"/>
      <c r="F76" s="25"/>
      <c r="G76" s="25"/>
      <c r="H76" s="25"/>
      <c r="I76" s="24" t="s">
        <v>45</v>
      </c>
      <c r="J76" s="25"/>
    </row>
    <row r="77" ht="15.75" customHeight="1">
      <c r="A77" s="13" t="s">
        <v>39</v>
      </c>
      <c r="B77" s="24" t="s">
        <v>52</v>
      </c>
      <c r="C77" s="13" t="s">
        <v>149</v>
      </c>
      <c r="D77" s="25"/>
      <c r="E77" s="26"/>
      <c r="F77" s="25"/>
      <c r="G77" s="25"/>
      <c r="H77" s="25"/>
      <c r="I77" s="24" t="s">
        <v>45</v>
      </c>
      <c r="J77" s="25"/>
    </row>
    <row r="78" ht="15.75" customHeight="1">
      <c r="A78" s="13" t="s">
        <v>39</v>
      </c>
      <c r="B78" s="28" t="s">
        <v>150</v>
      </c>
      <c r="C78" s="25" t="s">
        <v>151</v>
      </c>
      <c r="D78" s="25"/>
      <c r="E78" s="26"/>
      <c r="F78" s="25"/>
      <c r="G78" s="25"/>
      <c r="H78" s="25"/>
      <c r="I78" s="24"/>
      <c r="J78" s="25"/>
    </row>
    <row r="79" ht="15.75" customHeight="1">
      <c r="A79" s="13" t="s">
        <v>39</v>
      </c>
      <c r="B79" s="28" t="s">
        <v>152</v>
      </c>
      <c r="C79" s="25" t="s">
        <v>153</v>
      </c>
      <c r="D79" s="25"/>
      <c r="E79" s="26"/>
      <c r="F79" s="25"/>
      <c r="G79" s="25"/>
      <c r="H79" s="25"/>
      <c r="I79" s="24"/>
      <c r="J79" s="25"/>
    </row>
    <row r="80" ht="15.75" customHeight="1">
      <c r="A80" s="13" t="s">
        <v>39</v>
      </c>
      <c r="B80" s="28" t="s">
        <v>154</v>
      </c>
      <c r="C80" s="25" t="s">
        <v>155</v>
      </c>
      <c r="D80" s="25"/>
      <c r="E80" s="26"/>
      <c r="F80" s="25"/>
      <c r="G80" s="25"/>
      <c r="H80" s="25"/>
      <c r="I80" s="24"/>
      <c r="J80" s="25"/>
    </row>
    <row r="81" ht="15.75" customHeight="1">
      <c r="A81" s="13" t="s">
        <v>39</v>
      </c>
      <c r="B81" s="28" t="s">
        <v>156</v>
      </c>
      <c r="C81" s="25" t="s">
        <v>157</v>
      </c>
      <c r="D81" s="25"/>
      <c r="E81" s="26"/>
      <c r="F81" s="25"/>
      <c r="G81" s="25"/>
      <c r="H81" s="25"/>
      <c r="I81" s="24"/>
      <c r="J81" s="25"/>
    </row>
    <row r="82" ht="15.75" customHeight="1">
      <c r="A82" s="13" t="s">
        <v>39</v>
      </c>
      <c r="B82" s="28" t="s">
        <v>158</v>
      </c>
      <c r="C82" s="25" t="s">
        <v>159</v>
      </c>
      <c r="D82" s="25"/>
      <c r="E82" s="26"/>
      <c r="F82" s="25"/>
      <c r="G82" s="25"/>
      <c r="H82" s="25"/>
      <c r="I82" s="24"/>
      <c r="J82" s="25"/>
    </row>
    <row r="83" ht="15.75" customHeight="1">
      <c r="A83" s="13" t="s">
        <v>39</v>
      </c>
      <c r="B83" s="28" t="s">
        <v>160</v>
      </c>
      <c r="C83" s="25" t="s">
        <v>161</v>
      </c>
      <c r="D83" s="25"/>
      <c r="E83" s="26"/>
      <c r="F83" s="25"/>
      <c r="G83" s="25"/>
      <c r="H83" s="25"/>
      <c r="I83" s="24"/>
      <c r="J83" s="25"/>
    </row>
    <row r="84" ht="15.75" customHeight="1">
      <c r="A84" s="13" t="s">
        <v>39</v>
      </c>
      <c r="B84" s="28" t="s">
        <v>162</v>
      </c>
      <c r="C84" s="25" t="s">
        <v>163</v>
      </c>
      <c r="D84" s="25"/>
      <c r="E84" s="26"/>
      <c r="F84" s="25"/>
      <c r="G84" s="25"/>
      <c r="H84" s="25"/>
      <c r="I84" s="24"/>
      <c r="J84" s="25"/>
    </row>
    <row r="85" ht="15.75" customHeight="1">
      <c r="A85" s="13" t="s">
        <v>39</v>
      </c>
      <c r="B85" s="28" t="s">
        <v>164</v>
      </c>
      <c r="C85" s="25" t="s">
        <v>165</v>
      </c>
      <c r="D85" s="25"/>
      <c r="E85" s="26"/>
      <c r="F85" s="25"/>
      <c r="G85" s="25"/>
      <c r="H85" s="25"/>
      <c r="I85" s="24"/>
      <c r="J85" s="25"/>
    </row>
    <row r="86" ht="15.75" customHeight="1">
      <c r="A86" s="13" t="s">
        <v>39</v>
      </c>
      <c r="B86" s="28" t="s">
        <v>166</v>
      </c>
      <c r="C86" s="25" t="s">
        <v>167</v>
      </c>
      <c r="D86" s="25"/>
      <c r="E86" s="26"/>
      <c r="F86" s="25"/>
      <c r="G86" s="25"/>
      <c r="H86" s="25"/>
      <c r="I86" s="24"/>
      <c r="J86" s="25"/>
    </row>
    <row r="87" ht="15.75" customHeight="1">
      <c r="A87" s="13" t="s">
        <v>39</v>
      </c>
      <c r="B87" s="28" t="s">
        <v>168</v>
      </c>
      <c r="C87" s="25" t="s">
        <v>169</v>
      </c>
      <c r="D87" s="25"/>
      <c r="E87" s="26"/>
      <c r="F87" s="25"/>
      <c r="G87" s="25"/>
      <c r="H87" s="25"/>
      <c r="I87" s="24"/>
      <c r="J87" s="25"/>
    </row>
    <row r="88" ht="15.75" customHeight="1">
      <c r="A88" s="13" t="s">
        <v>39</v>
      </c>
      <c r="B88" s="28" t="s">
        <v>170</v>
      </c>
      <c r="C88" s="25" t="s">
        <v>171</v>
      </c>
      <c r="D88" s="25"/>
      <c r="E88" s="26"/>
      <c r="F88" s="25"/>
      <c r="G88" s="25"/>
      <c r="H88" s="25"/>
      <c r="I88" s="24"/>
      <c r="J88" s="25"/>
    </row>
    <row r="89" ht="15.75" customHeight="1">
      <c r="A89" s="13" t="s">
        <v>39</v>
      </c>
      <c r="B89" s="28" t="s">
        <v>172</v>
      </c>
      <c r="C89" s="25" t="s">
        <v>173</v>
      </c>
      <c r="D89" s="25"/>
      <c r="E89" s="26"/>
      <c r="F89" s="25"/>
      <c r="G89" s="25"/>
      <c r="H89" s="25"/>
      <c r="I89" s="24"/>
      <c r="J89" s="25"/>
    </row>
    <row r="90" ht="15.75" customHeight="1">
      <c r="A90" s="13" t="s">
        <v>39</v>
      </c>
      <c r="B90" s="28" t="s">
        <v>174</v>
      </c>
      <c r="C90" s="25" t="s">
        <v>175</v>
      </c>
      <c r="D90" s="25"/>
      <c r="E90" s="26"/>
      <c r="F90" s="25"/>
      <c r="G90" s="25"/>
      <c r="H90" s="25"/>
      <c r="I90" s="24"/>
      <c r="J90" s="25"/>
    </row>
    <row r="91" ht="15.75" customHeight="1">
      <c r="A91" s="13" t="s">
        <v>39</v>
      </c>
      <c r="B91" s="28" t="s">
        <v>176</v>
      </c>
      <c r="C91" s="25" t="s">
        <v>177</v>
      </c>
      <c r="D91" s="25"/>
      <c r="E91" s="26"/>
      <c r="F91" s="25"/>
      <c r="G91" s="25"/>
      <c r="H91" s="25"/>
      <c r="I91" s="24"/>
      <c r="J91" s="25"/>
    </row>
    <row r="92" ht="15.75" customHeight="1">
      <c r="A92" s="13" t="s">
        <v>39</v>
      </c>
      <c r="B92" s="28" t="s">
        <v>178</v>
      </c>
      <c r="C92" s="25" t="s">
        <v>179</v>
      </c>
      <c r="D92" s="25"/>
      <c r="E92" s="26"/>
      <c r="F92" s="25"/>
      <c r="G92" s="25"/>
      <c r="H92" s="25"/>
      <c r="I92" s="24"/>
      <c r="J92" s="25"/>
    </row>
    <row r="93" ht="15.75" customHeight="1">
      <c r="A93" s="13" t="s">
        <v>39</v>
      </c>
      <c r="B93" s="28" t="s">
        <v>180</v>
      </c>
      <c r="C93" s="25" t="s">
        <v>181</v>
      </c>
      <c r="D93" s="25"/>
      <c r="E93" s="26"/>
      <c r="F93" s="25"/>
      <c r="G93" s="25"/>
      <c r="H93" s="25"/>
      <c r="I93" s="24"/>
      <c r="J93" s="25"/>
    </row>
    <row r="94" ht="15.75" customHeight="1">
      <c r="A94" s="13" t="s">
        <v>39</v>
      </c>
      <c r="B94" s="28" t="s">
        <v>182</v>
      </c>
      <c r="C94" s="25" t="s">
        <v>183</v>
      </c>
      <c r="D94" s="25"/>
      <c r="E94" s="26"/>
      <c r="F94" s="25"/>
      <c r="G94" s="25"/>
      <c r="H94" s="25"/>
      <c r="I94" s="24"/>
      <c r="J94" s="25"/>
    </row>
    <row r="95" ht="15.75" customHeight="1">
      <c r="A95" s="13" t="s">
        <v>39</v>
      </c>
      <c r="B95" s="28" t="s">
        <v>184</v>
      </c>
      <c r="C95" s="25" t="s">
        <v>185</v>
      </c>
      <c r="D95" s="25"/>
      <c r="E95" s="26"/>
      <c r="F95" s="25"/>
      <c r="G95" s="25"/>
      <c r="H95" s="25"/>
      <c r="I95" s="24"/>
      <c r="J95" s="25"/>
    </row>
    <row r="96" ht="15.75" customHeight="1">
      <c r="A96" s="13" t="s">
        <v>39</v>
      </c>
      <c r="B96" s="28" t="s">
        <v>186</v>
      </c>
      <c r="C96" s="25" t="s">
        <v>187</v>
      </c>
      <c r="D96" s="25"/>
      <c r="E96" s="26"/>
      <c r="F96" s="25"/>
      <c r="G96" s="25"/>
      <c r="H96" s="25"/>
      <c r="I96" s="24"/>
      <c r="J96" s="25"/>
    </row>
    <row r="97" ht="15.75" customHeight="1">
      <c r="A97" s="13" t="s">
        <v>39</v>
      </c>
      <c r="B97" s="28" t="s">
        <v>188</v>
      </c>
      <c r="C97" s="25" t="s">
        <v>189</v>
      </c>
      <c r="D97" s="25"/>
      <c r="E97" s="26"/>
      <c r="F97" s="25"/>
      <c r="G97" s="25"/>
      <c r="H97" s="25"/>
      <c r="I97" s="24"/>
      <c r="J97" s="25"/>
    </row>
    <row r="98" ht="15.75" customHeight="1">
      <c r="A98" s="13" t="s">
        <v>39</v>
      </c>
      <c r="B98" s="24" t="s">
        <v>190</v>
      </c>
      <c r="C98" s="13" t="s">
        <v>191</v>
      </c>
      <c r="D98" s="25"/>
      <c r="E98" s="26"/>
      <c r="F98" s="25"/>
      <c r="G98" s="25"/>
      <c r="H98" s="25"/>
      <c r="I98" s="24"/>
      <c r="J98" s="25"/>
    </row>
    <row r="99" ht="15.75" customHeight="1">
      <c r="A99" s="13" t="s">
        <v>39</v>
      </c>
      <c r="B99" s="24" t="s">
        <v>192</v>
      </c>
      <c r="C99" s="13" t="s">
        <v>193</v>
      </c>
      <c r="D99" s="25"/>
      <c r="E99" s="26"/>
      <c r="F99" s="25"/>
      <c r="G99" s="25"/>
      <c r="H99" s="25"/>
      <c r="I99" s="24"/>
      <c r="J99" s="25"/>
    </row>
    <row r="100" ht="15.75" customHeight="1">
      <c r="A100" s="13" t="s">
        <v>39</v>
      </c>
      <c r="B100" s="28" t="s">
        <v>194</v>
      </c>
      <c r="C100" s="25" t="s">
        <v>195</v>
      </c>
      <c r="D100" s="25"/>
      <c r="E100" s="26"/>
      <c r="F100" s="25"/>
      <c r="G100" s="25"/>
      <c r="H100" s="25"/>
      <c r="I100" s="24"/>
      <c r="J100" s="25"/>
    </row>
    <row r="101" ht="15.75" customHeight="1">
      <c r="A101" s="13" t="s">
        <v>39</v>
      </c>
      <c r="B101" s="28" t="s">
        <v>196</v>
      </c>
      <c r="C101" s="25" t="s">
        <v>197</v>
      </c>
      <c r="D101" s="25"/>
      <c r="E101" s="26"/>
      <c r="F101" s="25"/>
      <c r="G101" s="25"/>
      <c r="H101" s="25"/>
      <c r="I101" s="24"/>
      <c r="J101" s="25"/>
    </row>
    <row r="102" ht="15.75" customHeight="1">
      <c r="A102" s="13" t="s">
        <v>39</v>
      </c>
      <c r="B102" s="28" t="s">
        <v>198</v>
      </c>
      <c r="C102" s="25" t="s">
        <v>199</v>
      </c>
      <c r="D102" s="25"/>
      <c r="E102" s="26"/>
      <c r="F102" s="25"/>
      <c r="G102" s="25"/>
      <c r="H102" s="25"/>
      <c r="I102" s="24"/>
      <c r="J102" s="25"/>
    </row>
    <row r="103" ht="15.75" customHeight="1">
      <c r="A103" s="13" t="s">
        <v>39</v>
      </c>
      <c r="B103" s="24" t="s">
        <v>200</v>
      </c>
      <c r="C103" s="25" t="s">
        <v>201</v>
      </c>
      <c r="D103" s="25"/>
      <c r="E103" s="26"/>
      <c r="F103" s="25"/>
      <c r="G103" s="25"/>
      <c r="H103" s="25"/>
      <c r="I103" s="24"/>
      <c r="J103" s="25"/>
    </row>
    <row r="104" ht="15.75" customHeight="1">
      <c r="D104" s="29"/>
      <c r="E104" s="30"/>
    </row>
    <row r="105" ht="15.75" customHeight="1">
      <c r="D105" s="29"/>
      <c r="E105" s="30"/>
    </row>
    <row r="106" ht="15.75" customHeight="1">
      <c r="D106" s="29"/>
      <c r="E106" s="30"/>
    </row>
    <row r="107" ht="15.75" customHeight="1">
      <c r="D107" s="29"/>
      <c r="E107" s="30"/>
    </row>
    <row r="108" ht="15.75" customHeight="1">
      <c r="D108" s="29"/>
      <c r="E108" s="30"/>
    </row>
    <row r="109" ht="15.75" customHeight="1">
      <c r="D109" s="29"/>
      <c r="E109" s="30"/>
    </row>
    <row r="110" ht="15.75" customHeight="1">
      <c r="D110" s="29"/>
      <c r="E110" s="30"/>
    </row>
    <row r="111" ht="15.75" customHeight="1">
      <c r="D111" s="29"/>
      <c r="E111" s="30"/>
    </row>
    <row r="112" ht="15.75" customHeight="1">
      <c r="D112" s="29"/>
      <c r="E112" s="30"/>
    </row>
    <row r="113" ht="15.75" customHeight="1">
      <c r="D113" s="29"/>
      <c r="E113" s="30"/>
    </row>
    <row r="114" ht="15.75" customHeight="1">
      <c r="D114" s="29"/>
      <c r="E114" s="30"/>
    </row>
    <row r="115" ht="15.75" customHeight="1">
      <c r="D115" s="29"/>
      <c r="E115" s="30"/>
    </row>
    <row r="116" ht="15.75" customHeight="1">
      <c r="D116" s="29"/>
      <c r="E116" s="30"/>
    </row>
    <row r="117" ht="15.75" customHeight="1">
      <c r="D117" s="29"/>
      <c r="E117" s="30"/>
    </row>
    <row r="118" ht="15.75" customHeight="1">
      <c r="D118" s="29"/>
      <c r="E118" s="30"/>
    </row>
    <row r="119" ht="15.75" customHeight="1">
      <c r="D119" s="29"/>
      <c r="E119" s="30"/>
    </row>
    <row r="120" ht="15.75" customHeight="1">
      <c r="D120" s="29"/>
      <c r="E120" s="30"/>
    </row>
    <row r="121" ht="15.75" customHeight="1">
      <c r="D121" s="29"/>
      <c r="E121" s="30"/>
    </row>
    <row r="122" ht="15.75" customHeight="1">
      <c r="D122" s="29"/>
      <c r="E122" s="30"/>
    </row>
    <row r="123" ht="15.75" customHeight="1">
      <c r="D123" s="29"/>
      <c r="E123" s="30"/>
    </row>
    <row r="124" ht="15.75" customHeight="1">
      <c r="D124" s="29"/>
      <c r="E124" s="30"/>
    </row>
    <row r="125" ht="15.75" customHeight="1">
      <c r="D125" s="29"/>
      <c r="E125" s="30"/>
    </row>
    <row r="126" ht="15.75" customHeight="1">
      <c r="D126" s="29"/>
      <c r="E126" s="30"/>
    </row>
    <row r="127" ht="15.75" customHeight="1">
      <c r="D127" s="29"/>
      <c r="E127" s="30"/>
    </row>
    <row r="128" ht="15.75" customHeight="1">
      <c r="D128" s="29"/>
      <c r="E128" s="30"/>
    </row>
    <row r="129" ht="15.75" customHeight="1">
      <c r="D129" s="29"/>
      <c r="E129" s="30"/>
    </row>
    <row r="130" ht="15.75" customHeight="1">
      <c r="D130" s="29"/>
      <c r="E130" s="30"/>
    </row>
    <row r="131" ht="15.75" customHeight="1">
      <c r="D131" s="29"/>
      <c r="E131" s="30"/>
    </row>
    <row r="132" ht="15.75" customHeight="1">
      <c r="D132" s="29"/>
      <c r="E132" s="30"/>
    </row>
    <row r="133" ht="15.75" customHeight="1">
      <c r="D133" s="29"/>
      <c r="E133" s="30"/>
    </row>
    <row r="134" ht="15.75" customHeight="1">
      <c r="D134" s="29"/>
      <c r="E134" s="30"/>
    </row>
    <row r="135" ht="15.75" customHeight="1">
      <c r="D135" s="29"/>
      <c r="E135" s="30"/>
    </row>
    <row r="136" ht="15.75" customHeight="1">
      <c r="D136" s="29"/>
      <c r="E136" s="30"/>
    </row>
    <row r="137" ht="15.75" customHeight="1">
      <c r="D137" s="29"/>
      <c r="E137" s="30"/>
    </row>
    <row r="138" ht="15.75" customHeight="1">
      <c r="D138" s="29"/>
      <c r="E138" s="30"/>
    </row>
    <row r="139" ht="15.75" customHeight="1">
      <c r="D139" s="29"/>
      <c r="E139" s="30"/>
    </row>
    <row r="140" ht="15.75" customHeight="1">
      <c r="D140" s="29"/>
      <c r="E140" s="30"/>
    </row>
    <row r="141" ht="15.75" customHeight="1">
      <c r="D141" s="29"/>
      <c r="E141" s="30"/>
    </row>
    <row r="142" ht="15.75" customHeight="1">
      <c r="D142" s="29"/>
      <c r="E142" s="30"/>
    </row>
    <row r="143" ht="15.75" customHeight="1">
      <c r="D143" s="29"/>
      <c r="E143" s="30"/>
    </row>
    <row r="144" ht="15.75" customHeight="1">
      <c r="D144" s="29"/>
      <c r="E144" s="30"/>
    </row>
    <row r="145" ht="15.75" customHeight="1">
      <c r="D145" s="29"/>
      <c r="E145" s="30"/>
    </row>
    <row r="146" ht="15.75" customHeight="1">
      <c r="D146" s="29"/>
      <c r="E146" s="30"/>
    </row>
    <row r="147" ht="15.75" customHeight="1">
      <c r="D147" s="29"/>
      <c r="E147" s="30"/>
    </row>
    <row r="148" ht="15.75" customHeight="1">
      <c r="D148" s="29"/>
      <c r="E148" s="30"/>
    </row>
    <row r="149" ht="15.75" customHeight="1">
      <c r="D149" s="29"/>
      <c r="E149" s="30"/>
    </row>
    <row r="150" ht="15.75" customHeight="1">
      <c r="D150" s="29"/>
      <c r="E150" s="30"/>
    </row>
    <row r="151" ht="15.75" customHeight="1">
      <c r="D151" s="29"/>
      <c r="E151" s="30"/>
    </row>
    <row r="152" ht="15.75" customHeight="1">
      <c r="D152" s="29"/>
      <c r="E152" s="30"/>
    </row>
    <row r="153" ht="15.75" customHeight="1">
      <c r="D153" s="29"/>
      <c r="E153" s="30"/>
    </row>
    <row r="154" ht="15.75" customHeight="1">
      <c r="D154" s="29"/>
      <c r="E154" s="30"/>
    </row>
    <row r="155" ht="15.75" customHeight="1">
      <c r="D155" s="29"/>
      <c r="E155" s="30"/>
    </row>
    <row r="156" ht="15.75" customHeight="1">
      <c r="D156" s="29"/>
      <c r="E156" s="30"/>
    </row>
    <row r="157" ht="15.75" customHeight="1">
      <c r="D157" s="29"/>
      <c r="E157" s="30"/>
    </row>
    <row r="158" ht="15.75" customHeight="1">
      <c r="D158" s="29"/>
      <c r="E158" s="30"/>
    </row>
    <row r="159" ht="15.75" customHeight="1">
      <c r="D159" s="29"/>
      <c r="E159" s="30"/>
    </row>
    <row r="160" ht="15.75" customHeight="1">
      <c r="D160" s="29"/>
      <c r="E160" s="30"/>
    </row>
    <row r="161" ht="15.75" customHeight="1">
      <c r="D161" s="29"/>
      <c r="E161" s="30"/>
    </row>
    <row r="162" ht="15.75" customHeight="1">
      <c r="D162" s="29"/>
      <c r="E162" s="30"/>
    </row>
    <row r="163" ht="15.75" customHeight="1">
      <c r="D163" s="29"/>
      <c r="E163" s="30"/>
    </row>
    <row r="164" ht="15.75" customHeight="1">
      <c r="D164" s="29"/>
      <c r="E164" s="30"/>
    </row>
    <row r="165" ht="15.75" customHeight="1">
      <c r="D165" s="29"/>
      <c r="E165" s="30"/>
    </row>
    <row r="166" ht="15.75" customHeight="1">
      <c r="D166" s="29"/>
      <c r="E166" s="30"/>
    </row>
    <row r="167" ht="15.75" customHeight="1">
      <c r="D167" s="29"/>
      <c r="E167" s="30"/>
    </row>
    <row r="168" ht="15.75" customHeight="1">
      <c r="D168" s="29"/>
      <c r="E168" s="30"/>
    </row>
    <row r="169" ht="15.75" customHeight="1">
      <c r="D169" s="29"/>
      <c r="E169" s="30"/>
    </row>
    <row r="170" ht="15.75" customHeight="1">
      <c r="D170" s="29"/>
      <c r="E170" s="30"/>
    </row>
    <row r="171" ht="15.75" customHeight="1">
      <c r="D171" s="29"/>
      <c r="E171" s="30"/>
    </row>
    <row r="172" ht="15.75" customHeight="1">
      <c r="D172" s="29"/>
      <c r="E172" s="30"/>
    </row>
    <row r="173" ht="15.75" customHeight="1">
      <c r="D173" s="29"/>
      <c r="E173" s="30"/>
    </row>
    <row r="174" ht="15.75" customHeight="1">
      <c r="D174" s="29"/>
      <c r="E174" s="30"/>
    </row>
    <row r="175" ht="15.75" customHeight="1">
      <c r="D175" s="29"/>
      <c r="E175" s="30"/>
    </row>
    <row r="176" ht="15.75" customHeight="1">
      <c r="D176" s="29"/>
      <c r="E176" s="30"/>
    </row>
    <row r="177" ht="15.75" customHeight="1">
      <c r="D177" s="29"/>
      <c r="E177" s="30"/>
    </row>
    <row r="178" ht="15.75" customHeight="1">
      <c r="D178" s="29"/>
      <c r="E178" s="30"/>
    </row>
    <row r="179" ht="15.75" customHeight="1">
      <c r="D179" s="29"/>
      <c r="E179" s="30"/>
    </row>
    <row r="180" ht="15.75" customHeight="1">
      <c r="D180" s="29"/>
      <c r="E180" s="30"/>
    </row>
    <row r="181" ht="15.75" customHeight="1">
      <c r="D181" s="29"/>
      <c r="E181" s="30"/>
    </row>
    <row r="182" ht="15.75" customHeight="1">
      <c r="D182" s="29"/>
      <c r="E182" s="30"/>
    </row>
    <row r="183" ht="15.75" customHeight="1">
      <c r="D183" s="29"/>
      <c r="E183" s="30"/>
    </row>
    <row r="184" ht="15.75" customHeight="1">
      <c r="D184" s="29"/>
      <c r="E184" s="30"/>
    </row>
    <row r="185" ht="15.75" customHeight="1">
      <c r="D185" s="29"/>
      <c r="E185" s="30"/>
    </row>
    <row r="186" ht="15.75" customHeight="1">
      <c r="D186" s="29"/>
      <c r="E186" s="30"/>
    </row>
    <row r="187" ht="15.75" customHeight="1">
      <c r="D187" s="29"/>
      <c r="E187" s="30"/>
    </row>
    <row r="188" ht="15.75" customHeight="1">
      <c r="D188" s="29"/>
      <c r="E188" s="30"/>
    </row>
    <row r="189" ht="15.75" customHeight="1">
      <c r="D189" s="29"/>
      <c r="E189" s="30"/>
    </row>
    <row r="190" ht="15.75" customHeight="1">
      <c r="D190" s="29"/>
      <c r="E190" s="30"/>
    </row>
    <row r="191" ht="15.75" customHeight="1">
      <c r="D191" s="29"/>
      <c r="E191" s="30"/>
    </row>
    <row r="192" ht="15.75" customHeight="1">
      <c r="D192" s="29"/>
      <c r="E192" s="30"/>
    </row>
    <row r="193" ht="15.75" customHeight="1">
      <c r="D193" s="29"/>
      <c r="E193" s="30"/>
    </row>
    <row r="194" ht="15.75" customHeight="1">
      <c r="D194" s="29"/>
      <c r="E194" s="30"/>
    </row>
    <row r="195" ht="15.75" customHeight="1">
      <c r="D195" s="29"/>
      <c r="E195" s="30"/>
    </row>
    <row r="196" ht="15.75" customHeight="1">
      <c r="D196" s="29"/>
      <c r="E196" s="30"/>
    </row>
    <row r="197" ht="15.75" customHeight="1">
      <c r="D197" s="29"/>
      <c r="E197" s="30"/>
    </row>
    <row r="198" ht="15.75" customHeight="1">
      <c r="D198" s="29"/>
      <c r="E198" s="30"/>
    </row>
    <row r="199" ht="15.75" customHeight="1">
      <c r="D199" s="29"/>
      <c r="E199" s="30"/>
    </row>
    <row r="200" ht="15.75" customHeight="1">
      <c r="D200" s="29"/>
      <c r="E200" s="30"/>
    </row>
    <row r="201" ht="15.75" customHeight="1">
      <c r="D201" s="29"/>
      <c r="E201" s="30"/>
    </row>
    <row r="202" ht="15.75" customHeight="1">
      <c r="D202" s="29"/>
      <c r="E202" s="30"/>
    </row>
    <row r="203" ht="15.75" customHeight="1">
      <c r="D203" s="29"/>
      <c r="E203" s="30"/>
    </row>
    <row r="204" ht="15.75" customHeight="1">
      <c r="D204" s="29"/>
      <c r="E204" s="30"/>
    </row>
    <row r="205" ht="15.75" customHeight="1">
      <c r="D205" s="29"/>
      <c r="E205" s="30"/>
    </row>
    <row r="206" ht="15.75" customHeight="1">
      <c r="D206" s="29"/>
      <c r="E206" s="30"/>
    </row>
    <row r="207" ht="15.75" customHeight="1">
      <c r="D207" s="29"/>
      <c r="E207" s="30"/>
    </row>
    <row r="208" ht="15.75" customHeight="1">
      <c r="D208" s="29"/>
      <c r="E208" s="30"/>
    </row>
    <row r="209" ht="15.75" customHeight="1">
      <c r="D209" s="29"/>
      <c r="E209" s="30"/>
    </row>
    <row r="210" ht="15.75" customHeight="1">
      <c r="D210" s="29"/>
      <c r="E210" s="30"/>
    </row>
    <row r="211" ht="15.75" customHeight="1">
      <c r="D211" s="29"/>
      <c r="E211" s="30"/>
    </row>
    <row r="212" ht="15.75" customHeight="1">
      <c r="D212" s="29"/>
      <c r="E212" s="30"/>
    </row>
    <row r="213" ht="15.75" customHeight="1">
      <c r="D213" s="29"/>
      <c r="E213" s="30"/>
    </row>
    <row r="214" ht="15.75" customHeight="1">
      <c r="D214" s="29"/>
      <c r="E214" s="30"/>
    </row>
    <row r="215" ht="15.75" customHeight="1">
      <c r="D215" s="29"/>
      <c r="E215" s="30"/>
    </row>
    <row r="216" ht="15.75" customHeight="1">
      <c r="D216" s="29"/>
      <c r="E216" s="30"/>
    </row>
    <row r="217" ht="15.75" customHeight="1">
      <c r="D217" s="29"/>
      <c r="E217" s="30"/>
    </row>
    <row r="218" ht="15.75" customHeight="1">
      <c r="D218" s="29"/>
      <c r="E218" s="30"/>
    </row>
    <row r="219" ht="15.75" customHeight="1">
      <c r="D219" s="29"/>
      <c r="E219" s="30"/>
    </row>
    <row r="220" ht="15.75" customHeight="1">
      <c r="D220" s="29"/>
      <c r="E220" s="30"/>
    </row>
    <row r="221" ht="15.75" customHeight="1">
      <c r="D221" s="29"/>
      <c r="E221" s="30"/>
    </row>
    <row r="222" ht="15.75" customHeight="1">
      <c r="D222" s="29"/>
      <c r="E222" s="30"/>
    </row>
    <row r="223" ht="15.75" customHeight="1">
      <c r="D223" s="29"/>
      <c r="E223" s="30"/>
    </row>
    <row r="224" ht="15.75" customHeight="1">
      <c r="D224" s="29"/>
      <c r="E224" s="30"/>
    </row>
    <row r="225" ht="15.75" customHeight="1">
      <c r="D225" s="29"/>
      <c r="E225" s="30"/>
    </row>
    <row r="226" ht="15.75" customHeight="1">
      <c r="D226" s="29"/>
      <c r="E226" s="30"/>
    </row>
    <row r="227" ht="15.75" customHeight="1">
      <c r="D227" s="29"/>
      <c r="E227" s="30"/>
    </row>
    <row r="228" ht="15.75" customHeight="1">
      <c r="D228" s="29"/>
      <c r="E228" s="30"/>
    </row>
    <row r="229" ht="15.75" customHeight="1">
      <c r="D229" s="29"/>
      <c r="E229" s="30"/>
    </row>
    <row r="230" ht="15.75" customHeight="1">
      <c r="D230" s="29"/>
      <c r="E230" s="30"/>
    </row>
    <row r="231" ht="15.75" customHeight="1">
      <c r="D231" s="29"/>
      <c r="E231" s="30"/>
    </row>
    <row r="232" ht="15.75" customHeight="1">
      <c r="D232" s="29"/>
      <c r="E232" s="30"/>
    </row>
    <row r="233" ht="15.75" customHeight="1">
      <c r="D233" s="29"/>
      <c r="E233" s="30"/>
    </row>
    <row r="234" ht="15.75" customHeight="1">
      <c r="D234" s="29"/>
      <c r="E234" s="30"/>
    </row>
    <row r="235" ht="15.75" customHeight="1">
      <c r="D235" s="29"/>
      <c r="E235" s="30"/>
    </row>
    <row r="236" ht="15.75" customHeight="1">
      <c r="D236" s="29"/>
      <c r="E236" s="30"/>
    </row>
    <row r="237" ht="15.75" customHeight="1">
      <c r="D237" s="29"/>
      <c r="E237" s="30"/>
    </row>
    <row r="238" ht="15.75" customHeight="1">
      <c r="D238" s="29"/>
      <c r="E238" s="30"/>
    </row>
    <row r="239" ht="15.75" customHeight="1">
      <c r="D239" s="29"/>
      <c r="E239" s="30"/>
    </row>
    <row r="240" ht="15.75" customHeight="1">
      <c r="D240" s="29"/>
      <c r="E240" s="30"/>
    </row>
    <row r="241" ht="15.75" customHeight="1">
      <c r="D241" s="29"/>
      <c r="E241" s="30"/>
    </row>
    <row r="242" ht="15.75" customHeight="1">
      <c r="D242" s="29"/>
      <c r="E242" s="30"/>
    </row>
    <row r="243" ht="15.75" customHeight="1">
      <c r="D243" s="29"/>
      <c r="E243" s="30"/>
    </row>
    <row r="244" ht="15.75" customHeight="1">
      <c r="D244" s="29"/>
      <c r="E244" s="30"/>
    </row>
    <row r="245" ht="15.75" customHeight="1">
      <c r="D245" s="29"/>
      <c r="E245" s="30"/>
    </row>
    <row r="246" ht="15.75" customHeight="1">
      <c r="D246" s="29"/>
      <c r="E246" s="30"/>
    </row>
    <row r="247" ht="15.75" customHeight="1">
      <c r="D247" s="29"/>
      <c r="E247" s="30"/>
    </row>
    <row r="248" ht="15.75" customHeight="1">
      <c r="D248" s="29"/>
      <c r="E248" s="30"/>
    </row>
    <row r="249" ht="15.75" customHeight="1">
      <c r="D249" s="29"/>
      <c r="E249" s="30"/>
    </row>
    <row r="250" ht="15.75" customHeight="1">
      <c r="D250" s="29"/>
      <c r="E250" s="30"/>
    </row>
    <row r="251" ht="15.75" customHeight="1">
      <c r="D251" s="29"/>
      <c r="E251" s="30"/>
    </row>
    <row r="252" ht="15.75" customHeight="1">
      <c r="D252" s="29"/>
      <c r="E252" s="30"/>
    </row>
    <row r="253" ht="15.75" customHeight="1">
      <c r="D253" s="29"/>
      <c r="E253" s="30"/>
    </row>
    <row r="254" ht="15.75" customHeight="1">
      <c r="D254" s="29"/>
      <c r="E254" s="30"/>
    </row>
    <row r="255" ht="15.75" customHeight="1">
      <c r="D255" s="29"/>
      <c r="E255" s="30"/>
    </row>
    <row r="256" ht="15.75" customHeight="1">
      <c r="D256" s="29"/>
      <c r="E256" s="30"/>
    </row>
    <row r="257" ht="15.75" customHeight="1">
      <c r="D257" s="29"/>
      <c r="E257" s="30"/>
    </row>
    <row r="258" ht="15.75" customHeight="1">
      <c r="D258" s="29"/>
      <c r="E258" s="30"/>
    </row>
    <row r="259" ht="15.75" customHeight="1">
      <c r="D259" s="29"/>
      <c r="E259" s="30"/>
    </row>
    <row r="260" ht="15.75" customHeight="1">
      <c r="D260" s="29"/>
      <c r="E260" s="30"/>
    </row>
    <row r="261" ht="15.75" customHeight="1">
      <c r="D261" s="29"/>
      <c r="E261" s="30"/>
    </row>
    <row r="262" ht="15.75" customHeight="1">
      <c r="D262" s="29"/>
      <c r="E262" s="30"/>
    </row>
    <row r="263" ht="15.75" customHeight="1">
      <c r="D263" s="29"/>
      <c r="E263" s="30"/>
    </row>
    <row r="264" ht="15.75" customHeight="1">
      <c r="D264" s="29"/>
      <c r="E264" s="30"/>
    </row>
    <row r="265" ht="15.75" customHeight="1">
      <c r="D265" s="29"/>
      <c r="E265" s="30"/>
    </row>
    <row r="266" ht="15.75" customHeight="1">
      <c r="D266" s="29"/>
      <c r="E266" s="30"/>
    </row>
    <row r="267" ht="15.75" customHeight="1">
      <c r="D267" s="29"/>
      <c r="E267" s="30"/>
    </row>
    <row r="268" ht="15.75" customHeight="1">
      <c r="D268" s="29"/>
      <c r="E268" s="30"/>
    </row>
    <row r="269" ht="15.75" customHeight="1">
      <c r="D269" s="29"/>
      <c r="E269" s="30"/>
    </row>
    <row r="270" ht="15.75" customHeight="1">
      <c r="D270" s="29"/>
      <c r="E270" s="30"/>
    </row>
    <row r="271" ht="15.75" customHeight="1">
      <c r="D271" s="29"/>
      <c r="E271" s="30"/>
    </row>
    <row r="272" ht="15.75" customHeight="1">
      <c r="D272" s="29"/>
      <c r="E272" s="30"/>
    </row>
    <row r="273" ht="15.75" customHeight="1">
      <c r="D273" s="29"/>
      <c r="E273" s="30"/>
    </row>
    <row r="274" ht="15.75" customHeight="1">
      <c r="D274" s="29"/>
      <c r="E274" s="30"/>
    </row>
    <row r="275" ht="15.75" customHeight="1">
      <c r="D275" s="29"/>
      <c r="E275" s="30"/>
    </row>
    <row r="276" ht="15.75" customHeight="1">
      <c r="D276" s="29"/>
      <c r="E276" s="30"/>
    </row>
    <row r="277" ht="15.75" customHeight="1">
      <c r="D277" s="29"/>
      <c r="E277" s="30"/>
    </row>
    <row r="278" ht="15.75" customHeight="1">
      <c r="D278" s="29"/>
      <c r="E278" s="30"/>
    </row>
    <row r="279" ht="15.75" customHeight="1">
      <c r="D279" s="29"/>
      <c r="E279" s="30"/>
    </row>
    <row r="280" ht="15.75" customHeight="1">
      <c r="D280" s="29"/>
      <c r="E280" s="30"/>
    </row>
    <row r="281" ht="15.75" customHeight="1">
      <c r="D281" s="29"/>
      <c r="E281" s="30"/>
    </row>
    <row r="282" ht="15.75" customHeight="1">
      <c r="D282" s="29"/>
      <c r="E282" s="30"/>
    </row>
    <row r="283" ht="15.75" customHeight="1">
      <c r="D283" s="29"/>
      <c r="E283" s="30"/>
    </row>
    <row r="284" ht="15.75" customHeight="1">
      <c r="D284" s="29"/>
      <c r="E284" s="30"/>
    </row>
    <row r="285" ht="15.75" customHeight="1">
      <c r="D285" s="29"/>
      <c r="E285" s="30"/>
    </row>
    <row r="286" ht="15.75" customHeight="1">
      <c r="D286" s="29"/>
      <c r="E286" s="30"/>
    </row>
    <row r="287" ht="15.75" customHeight="1">
      <c r="D287" s="29"/>
      <c r="E287" s="30"/>
    </row>
    <row r="288" ht="15.75" customHeight="1">
      <c r="D288" s="29"/>
      <c r="E288" s="30"/>
    </row>
    <row r="289" ht="15.75" customHeight="1">
      <c r="D289" s="29"/>
      <c r="E289" s="30"/>
    </row>
    <row r="290" ht="15.75" customHeight="1">
      <c r="D290" s="29"/>
      <c r="E290" s="30"/>
    </row>
    <row r="291" ht="15.75" customHeight="1">
      <c r="D291" s="29"/>
      <c r="E291" s="30"/>
    </row>
    <row r="292" ht="15.75" customHeight="1">
      <c r="D292" s="29"/>
      <c r="E292" s="30"/>
    </row>
    <row r="293" ht="15.75" customHeight="1">
      <c r="D293" s="29"/>
      <c r="E293" s="30"/>
    </row>
    <row r="294" ht="15.75" customHeight="1">
      <c r="D294" s="29"/>
      <c r="E294" s="30"/>
    </row>
    <row r="295" ht="15.75" customHeight="1">
      <c r="D295" s="29"/>
      <c r="E295" s="30"/>
    </row>
    <row r="296" ht="15.75" customHeight="1">
      <c r="D296" s="29"/>
      <c r="E296" s="30"/>
    </row>
    <row r="297" ht="15.75" customHeight="1">
      <c r="D297" s="29"/>
      <c r="E297" s="30"/>
    </row>
    <row r="298" ht="15.75" customHeight="1">
      <c r="D298" s="29"/>
      <c r="E298" s="30"/>
    </row>
    <row r="299" ht="15.75" customHeight="1">
      <c r="D299" s="29"/>
      <c r="E299" s="30"/>
    </row>
    <row r="300" ht="15.75" customHeight="1">
      <c r="D300" s="29"/>
      <c r="E300" s="30"/>
    </row>
    <row r="301" ht="15.75" customHeight="1">
      <c r="D301" s="29"/>
      <c r="E301" s="30"/>
    </row>
    <row r="302" ht="15.75" customHeight="1">
      <c r="D302" s="29"/>
      <c r="E302" s="30"/>
    </row>
    <row r="303" ht="15.75" customHeight="1">
      <c r="D303" s="29"/>
      <c r="E303" s="30"/>
    </row>
    <row r="304" ht="15.75" customHeight="1">
      <c r="D304" s="29"/>
      <c r="E304" s="30"/>
    </row>
    <row r="305" ht="15.75" customHeight="1">
      <c r="D305" s="29"/>
      <c r="E305" s="30"/>
    </row>
    <row r="306" ht="15.75" customHeight="1">
      <c r="D306" s="29"/>
      <c r="E306" s="30"/>
    </row>
    <row r="307" ht="15.75" customHeight="1">
      <c r="D307" s="29"/>
      <c r="E307" s="30"/>
    </row>
    <row r="308" ht="15.75" customHeight="1">
      <c r="D308" s="29"/>
      <c r="E308" s="30"/>
    </row>
    <row r="309" ht="15.75" customHeight="1">
      <c r="D309" s="29"/>
      <c r="E309" s="30"/>
    </row>
    <row r="310" ht="15.75" customHeight="1">
      <c r="D310" s="29"/>
      <c r="E310" s="30"/>
    </row>
    <row r="311" ht="15.75" customHeight="1">
      <c r="D311" s="29"/>
      <c r="E311" s="30"/>
    </row>
    <row r="312" ht="15.75" customHeight="1">
      <c r="D312" s="29"/>
      <c r="E312" s="30"/>
    </row>
    <row r="313" ht="15.75" customHeight="1">
      <c r="D313" s="29"/>
      <c r="E313" s="30"/>
    </row>
    <row r="314" ht="15.75" customHeight="1">
      <c r="D314" s="29"/>
      <c r="E314" s="30"/>
    </row>
    <row r="315" ht="15.75" customHeight="1">
      <c r="D315" s="29"/>
      <c r="E315" s="30"/>
    </row>
    <row r="316" ht="15.75" customHeight="1">
      <c r="D316" s="29"/>
      <c r="E316" s="30"/>
    </row>
    <row r="317" ht="15.75" customHeight="1">
      <c r="D317" s="29"/>
      <c r="E317" s="30"/>
    </row>
    <row r="318" ht="15.75" customHeight="1">
      <c r="D318" s="29"/>
      <c r="E318" s="30"/>
    </row>
    <row r="319" ht="15.75" customHeight="1">
      <c r="D319" s="29"/>
      <c r="E319" s="30"/>
    </row>
    <row r="320" ht="15.75" customHeight="1">
      <c r="D320" s="29"/>
      <c r="E320" s="30"/>
    </row>
    <row r="321" ht="15.75" customHeight="1">
      <c r="D321" s="29"/>
      <c r="E321" s="30"/>
    </row>
    <row r="322" ht="15.75" customHeight="1">
      <c r="D322" s="29"/>
      <c r="E322" s="30"/>
    </row>
    <row r="323" ht="15.75" customHeight="1">
      <c r="D323" s="29"/>
      <c r="E323" s="30"/>
    </row>
    <row r="324" ht="15.75" customHeight="1">
      <c r="D324" s="29"/>
      <c r="E324" s="30"/>
    </row>
    <row r="325" ht="15.75" customHeight="1">
      <c r="D325" s="29"/>
      <c r="E325" s="30"/>
    </row>
    <row r="326" ht="15.75" customHeight="1">
      <c r="D326" s="29"/>
      <c r="E326" s="30"/>
    </row>
    <row r="327" ht="15.75" customHeight="1">
      <c r="D327" s="29"/>
      <c r="E327" s="30"/>
    </row>
    <row r="328" ht="15.75" customHeight="1">
      <c r="D328" s="29"/>
      <c r="E328" s="30"/>
    </row>
    <row r="329" ht="15.75" customHeight="1">
      <c r="D329" s="29"/>
      <c r="E329" s="30"/>
    </row>
    <row r="330" ht="15.75" customHeight="1">
      <c r="D330" s="29"/>
      <c r="E330" s="30"/>
    </row>
    <row r="331" ht="15.75" customHeight="1">
      <c r="D331" s="29"/>
      <c r="E331" s="30"/>
    </row>
    <row r="332" ht="15.75" customHeight="1">
      <c r="D332" s="29"/>
      <c r="E332" s="30"/>
    </row>
    <row r="333" ht="15.75" customHeight="1">
      <c r="D333" s="29"/>
      <c r="E333" s="30"/>
    </row>
    <row r="334" ht="15.75" customHeight="1">
      <c r="D334" s="29"/>
      <c r="E334" s="30"/>
    </row>
    <row r="335" ht="15.75" customHeight="1">
      <c r="D335" s="29"/>
      <c r="E335" s="30"/>
    </row>
    <row r="336" ht="15.75" customHeight="1">
      <c r="D336" s="29"/>
      <c r="E336" s="30"/>
    </row>
    <row r="337" ht="15.75" customHeight="1">
      <c r="D337" s="29"/>
      <c r="E337" s="30"/>
    </row>
    <row r="338" ht="15.75" customHeight="1">
      <c r="D338" s="29"/>
      <c r="E338" s="30"/>
    </row>
    <row r="339" ht="15.75" customHeight="1">
      <c r="D339" s="29"/>
      <c r="E339" s="30"/>
    </row>
    <row r="340" ht="15.75" customHeight="1">
      <c r="D340" s="29"/>
      <c r="E340" s="30"/>
    </row>
    <row r="341" ht="15.75" customHeight="1">
      <c r="D341" s="29"/>
      <c r="E341" s="30"/>
    </row>
    <row r="342" ht="15.75" customHeight="1">
      <c r="D342" s="29"/>
      <c r="E342" s="30"/>
    </row>
    <row r="343" ht="15.75" customHeight="1">
      <c r="D343" s="29"/>
      <c r="E343" s="30"/>
    </row>
    <row r="344" ht="15.75" customHeight="1">
      <c r="D344" s="29"/>
      <c r="E344" s="30"/>
    </row>
    <row r="345" ht="15.75" customHeight="1">
      <c r="D345" s="29"/>
      <c r="E345" s="30"/>
    </row>
    <row r="346" ht="15.75" customHeight="1">
      <c r="D346" s="29"/>
      <c r="E346" s="30"/>
    </row>
    <row r="347" ht="15.75" customHeight="1">
      <c r="D347" s="29"/>
      <c r="E347" s="30"/>
    </row>
    <row r="348" ht="15.75" customHeight="1">
      <c r="D348" s="29"/>
      <c r="E348" s="30"/>
    </row>
    <row r="349" ht="15.75" customHeight="1">
      <c r="D349" s="29"/>
      <c r="E349" s="30"/>
    </row>
    <row r="350" ht="15.75" customHeight="1">
      <c r="D350" s="29"/>
      <c r="E350" s="30"/>
    </row>
    <row r="351" ht="15.75" customHeight="1">
      <c r="D351" s="29"/>
      <c r="E351" s="30"/>
    </row>
    <row r="352" ht="15.75" customHeight="1">
      <c r="D352" s="29"/>
      <c r="E352" s="30"/>
    </row>
    <row r="353" ht="15.75" customHeight="1">
      <c r="D353" s="29"/>
      <c r="E353" s="30"/>
    </row>
    <row r="354" ht="15.75" customHeight="1">
      <c r="D354" s="29"/>
      <c r="E354" s="30"/>
    </row>
    <row r="355" ht="15.75" customHeight="1">
      <c r="D355" s="29"/>
      <c r="E355" s="30"/>
    </row>
    <row r="356" ht="15.75" customHeight="1">
      <c r="D356" s="29"/>
      <c r="E356" s="30"/>
    </row>
    <row r="357" ht="15.75" customHeight="1">
      <c r="D357" s="29"/>
      <c r="E357" s="30"/>
    </row>
    <row r="358" ht="15.75" customHeight="1">
      <c r="D358" s="29"/>
      <c r="E358" s="30"/>
    </row>
    <row r="359" ht="15.75" customHeight="1">
      <c r="D359" s="29"/>
      <c r="E359" s="30"/>
    </row>
    <row r="360" ht="15.75" customHeight="1">
      <c r="D360" s="29"/>
      <c r="E360" s="30"/>
    </row>
    <row r="361" ht="15.75" customHeight="1">
      <c r="D361" s="29"/>
      <c r="E361" s="30"/>
    </row>
    <row r="362" ht="15.75" customHeight="1">
      <c r="D362" s="29"/>
      <c r="E362" s="30"/>
    </row>
    <row r="363" ht="15.75" customHeight="1">
      <c r="D363" s="29"/>
      <c r="E363" s="30"/>
    </row>
    <row r="364" ht="15.75" customHeight="1">
      <c r="D364" s="29"/>
      <c r="E364" s="30"/>
    </row>
    <row r="365" ht="15.75" customHeight="1">
      <c r="D365" s="29"/>
      <c r="E365" s="30"/>
    </row>
    <row r="366" ht="15.75" customHeight="1">
      <c r="D366" s="29"/>
      <c r="E366" s="30"/>
    </row>
    <row r="367" ht="15.75" customHeight="1">
      <c r="D367" s="29"/>
      <c r="E367" s="30"/>
    </row>
    <row r="368" ht="15.75" customHeight="1">
      <c r="D368" s="29"/>
      <c r="E368" s="30"/>
    </row>
    <row r="369" ht="15.75" customHeight="1">
      <c r="D369" s="29"/>
      <c r="E369" s="30"/>
    </row>
    <row r="370" ht="15.75" customHeight="1">
      <c r="D370" s="29"/>
      <c r="E370" s="30"/>
    </row>
    <row r="371" ht="15.75" customHeight="1">
      <c r="D371" s="29"/>
      <c r="E371" s="30"/>
    </row>
    <row r="372" ht="15.75" customHeight="1">
      <c r="D372" s="29"/>
      <c r="E372" s="30"/>
    </row>
    <row r="373" ht="15.75" customHeight="1">
      <c r="D373" s="29"/>
      <c r="E373" s="30"/>
    </row>
    <row r="374" ht="15.75" customHeight="1">
      <c r="D374" s="29"/>
      <c r="E374" s="30"/>
    </row>
    <row r="375" ht="15.75" customHeight="1">
      <c r="D375" s="29"/>
      <c r="E375" s="30"/>
    </row>
    <row r="376" ht="15.75" customHeight="1">
      <c r="D376" s="29"/>
      <c r="E376" s="30"/>
    </row>
    <row r="377" ht="15.75" customHeight="1">
      <c r="D377" s="29"/>
      <c r="E377" s="30"/>
    </row>
    <row r="378" ht="15.75" customHeight="1">
      <c r="D378" s="29"/>
      <c r="E378" s="30"/>
    </row>
    <row r="379" ht="15.75" customHeight="1">
      <c r="D379" s="29"/>
      <c r="E379" s="30"/>
    </row>
    <row r="380" ht="15.75" customHeight="1">
      <c r="D380" s="29"/>
      <c r="E380" s="30"/>
    </row>
    <row r="381" ht="15.75" customHeight="1">
      <c r="D381" s="29"/>
      <c r="E381" s="30"/>
    </row>
    <row r="382" ht="15.75" customHeight="1">
      <c r="D382" s="29"/>
      <c r="E382" s="30"/>
    </row>
    <row r="383" ht="15.75" customHeight="1">
      <c r="D383" s="29"/>
      <c r="E383" s="30"/>
    </row>
    <row r="384" ht="15.75" customHeight="1">
      <c r="D384" s="29"/>
      <c r="E384" s="30"/>
    </row>
    <row r="385" ht="15.75" customHeight="1">
      <c r="D385" s="29"/>
      <c r="E385" s="30"/>
    </row>
    <row r="386" ht="15.75" customHeight="1">
      <c r="D386" s="29"/>
      <c r="E386" s="30"/>
    </row>
    <row r="387" ht="15.75" customHeight="1">
      <c r="D387" s="29"/>
      <c r="E387" s="30"/>
    </row>
    <row r="388" ht="15.75" customHeight="1">
      <c r="D388" s="29"/>
      <c r="E388" s="30"/>
    </row>
    <row r="389" ht="15.75" customHeight="1">
      <c r="D389" s="29"/>
      <c r="E389" s="30"/>
    </row>
    <row r="390" ht="15.75" customHeight="1">
      <c r="D390" s="29"/>
      <c r="E390" s="30"/>
    </row>
    <row r="391" ht="15.75" customHeight="1">
      <c r="D391" s="29"/>
      <c r="E391" s="30"/>
    </row>
    <row r="392" ht="15.75" customHeight="1">
      <c r="D392" s="29"/>
      <c r="E392" s="30"/>
    </row>
    <row r="393" ht="15.75" customHeight="1">
      <c r="D393" s="29"/>
      <c r="E393" s="30"/>
    </row>
    <row r="394" ht="15.75" customHeight="1">
      <c r="D394" s="29"/>
      <c r="E394" s="30"/>
    </row>
    <row r="395" ht="15.75" customHeight="1">
      <c r="D395" s="29"/>
      <c r="E395" s="30"/>
    </row>
    <row r="396" ht="15.75" customHeight="1">
      <c r="D396" s="29"/>
      <c r="E396" s="30"/>
    </row>
    <row r="397" ht="15.75" customHeight="1">
      <c r="D397" s="29"/>
      <c r="E397" s="30"/>
    </row>
    <row r="398" ht="15.75" customHeight="1">
      <c r="D398" s="29"/>
      <c r="E398" s="30"/>
    </row>
    <row r="399" ht="15.75" customHeight="1">
      <c r="D399" s="29"/>
      <c r="E399" s="30"/>
    </row>
    <row r="400" ht="15.75" customHeight="1">
      <c r="D400" s="29"/>
      <c r="E400" s="30"/>
    </row>
    <row r="401" ht="15.75" customHeight="1">
      <c r="D401" s="29"/>
      <c r="E401" s="30"/>
    </row>
    <row r="402" ht="15.75" customHeight="1">
      <c r="D402" s="29"/>
      <c r="E402" s="30"/>
    </row>
    <row r="403" ht="15.75" customHeight="1">
      <c r="D403" s="29"/>
      <c r="E403" s="30"/>
    </row>
    <row r="404" ht="15.75" customHeight="1">
      <c r="D404" s="29"/>
      <c r="E404" s="30"/>
    </row>
    <row r="405" ht="15.75" customHeight="1">
      <c r="D405" s="29"/>
      <c r="E405" s="30"/>
    </row>
    <row r="406" ht="15.75" customHeight="1">
      <c r="D406" s="29"/>
      <c r="E406" s="30"/>
    </row>
    <row r="407" ht="15.75" customHeight="1">
      <c r="D407" s="29"/>
      <c r="E407" s="30"/>
    </row>
    <row r="408" ht="15.75" customHeight="1">
      <c r="D408" s="29"/>
      <c r="E408" s="30"/>
    </row>
    <row r="409" ht="15.75" customHeight="1">
      <c r="D409" s="29"/>
      <c r="E409" s="30"/>
    </row>
    <row r="410" ht="15.75" customHeight="1">
      <c r="D410" s="29"/>
      <c r="E410" s="30"/>
    </row>
    <row r="411" ht="15.75" customHeight="1">
      <c r="D411" s="29"/>
      <c r="E411" s="30"/>
    </row>
    <row r="412" ht="15.75" customHeight="1">
      <c r="D412" s="29"/>
      <c r="E412" s="30"/>
    </row>
    <row r="413" ht="15.75" customHeight="1">
      <c r="D413" s="29"/>
      <c r="E413" s="30"/>
    </row>
    <row r="414" ht="15.75" customHeight="1">
      <c r="D414" s="29"/>
      <c r="E414" s="30"/>
    </row>
    <row r="415" ht="15.75" customHeight="1">
      <c r="D415" s="29"/>
      <c r="E415" s="30"/>
    </row>
    <row r="416" ht="15.75" customHeight="1">
      <c r="D416" s="29"/>
      <c r="E416" s="30"/>
    </row>
    <row r="417" ht="15.75" customHeight="1">
      <c r="D417" s="29"/>
      <c r="E417" s="30"/>
    </row>
    <row r="418" ht="15.75" customHeight="1">
      <c r="D418" s="29"/>
      <c r="E418" s="30"/>
    </row>
    <row r="419" ht="15.75" customHeight="1">
      <c r="D419" s="29"/>
      <c r="E419" s="30"/>
    </row>
    <row r="420" ht="15.75" customHeight="1">
      <c r="D420" s="29"/>
      <c r="E420" s="30"/>
    </row>
    <row r="421" ht="15.75" customHeight="1">
      <c r="D421" s="29"/>
      <c r="E421" s="30"/>
    </row>
    <row r="422" ht="15.75" customHeight="1">
      <c r="D422" s="29"/>
      <c r="E422" s="30"/>
    </row>
    <row r="423" ht="15.75" customHeight="1">
      <c r="D423" s="29"/>
      <c r="E423" s="30"/>
    </row>
    <row r="424" ht="15.75" customHeight="1">
      <c r="D424" s="29"/>
      <c r="E424" s="30"/>
    </row>
    <row r="425" ht="15.75" customHeight="1">
      <c r="D425" s="29"/>
      <c r="E425" s="30"/>
    </row>
    <row r="426" ht="15.75" customHeight="1">
      <c r="D426" s="29"/>
      <c r="E426" s="30"/>
    </row>
    <row r="427" ht="15.75" customHeight="1">
      <c r="D427" s="29"/>
      <c r="E427" s="30"/>
    </row>
    <row r="428" ht="15.75" customHeight="1">
      <c r="D428" s="29"/>
      <c r="E428" s="30"/>
    </row>
    <row r="429" ht="15.75" customHeight="1">
      <c r="D429" s="29"/>
      <c r="E429" s="30"/>
    </row>
    <row r="430" ht="15.75" customHeight="1">
      <c r="D430" s="29"/>
      <c r="E430" s="30"/>
    </row>
    <row r="431" ht="15.75" customHeight="1">
      <c r="D431" s="29"/>
      <c r="E431" s="30"/>
    </row>
    <row r="432" ht="15.75" customHeight="1">
      <c r="D432" s="29"/>
      <c r="E432" s="30"/>
    </row>
    <row r="433" ht="15.75" customHeight="1">
      <c r="D433" s="29"/>
      <c r="E433" s="30"/>
    </row>
    <row r="434" ht="15.75" customHeight="1">
      <c r="D434" s="29"/>
      <c r="E434" s="30"/>
    </row>
    <row r="435" ht="15.75" customHeight="1">
      <c r="D435" s="29"/>
      <c r="E435" s="30"/>
    </row>
    <row r="436" ht="15.75" customHeight="1">
      <c r="D436" s="29"/>
      <c r="E436" s="30"/>
    </row>
    <row r="437" ht="15.75" customHeight="1">
      <c r="D437" s="29"/>
      <c r="E437" s="30"/>
    </row>
    <row r="438" ht="15.75" customHeight="1">
      <c r="D438" s="29"/>
      <c r="E438" s="30"/>
    </row>
    <row r="439" ht="15.75" customHeight="1">
      <c r="D439" s="29"/>
      <c r="E439" s="30"/>
    </row>
    <row r="440" ht="15.75" customHeight="1">
      <c r="D440" s="29"/>
      <c r="E440" s="30"/>
    </row>
    <row r="441" ht="15.75" customHeight="1">
      <c r="D441" s="29"/>
      <c r="E441" s="30"/>
    </row>
    <row r="442" ht="15.75" customHeight="1">
      <c r="D442" s="29"/>
      <c r="E442" s="30"/>
    </row>
    <row r="443" ht="15.75" customHeight="1">
      <c r="D443" s="29"/>
      <c r="E443" s="30"/>
    </row>
    <row r="444" ht="15.75" customHeight="1">
      <c r="D444" s="29"/>
      <c r="E444" s="30"/>
    </row>
    <row r="445" ht="15.75" customHeight="1">
      <c r="D445" s="29"/>
      <c r="E445" s="30"/>
    </row>
    <row r="446" ht="15.75" customHeight="1">
      <c r="D446" s="29"/>
      <c r="E446" s="30"/>
    </row>
    <row r="447" ht="15.75" customHeight="1">
      <c r="D447" s="29"/>
      <c r="E447" s="30"/>
    </row>
    <row r="448" ht="15.75" customHeight="1">
      <c r="D448" s="29"/>
      <c r="E448" s="30"/>
    </row>
    <row r="449" ht="15.75" customHeight="1">
      <c r="D449" s="29"/>
      <c r="E449" s="30"/>
    </row>
    <row r="450" ht="15.75" customHeight="1">
      <c r="D450" s="29"/>
      <c r="E450" s="30"/>
    </row>
    <row r="451" ht="15.75" customHeight="1">
      <c r="D451" s="29"/>
      <c r="E451" s="30"/>
    </row>
    <row r="452" ht="15.75" customHeight="1">
      <c r="D452" s="29"/>
      <c r="E452" s="30"/>
    </row>
    <row r="453" ht="15.75" customHeight="1">
      <c r="D453" s="29"/>
      <c r="E453" s="30"/>
    </row>
    <row r="454" ht="15.75" customHeight="1">
      <c r="D454" s="29"/>
      <c r="E454" s="30"/>
    </row>
    <row r="455" ht="15.75" customHeight="1">
      <c r="D455" s="29"/>
      <c r="E455" s="30"/>
    </row>
    <row r="456" ht="15.75" customHeight="1">
      <c r="D456" s="29"/>
      <c r="E456" s="30"/>
    </row>
    <row r="457" ht="15.75" customHeight="1">
      <c r="D457" s="29"/>
      <c r="E457" s="30"/>
    </row>
    <row r="458" ht="15.75" customHeight="1">
      <c r="D458" s="29"/>
      <c r="E458" s="30"/>
    </row>
    <row r="459" ht="15.75" customHeight="1">
      <c r="D459" s="29"/>
      <c r="E459" s="30"/>
    </row>
    <row r="460" ht="15.75" customHeight="1">
      <c r="D460" s="29"/>
      <c r="E460" s="30"/>
    </row>
    <row r="461" ht="15.75" customHeight="1">
      <c r="D461" s="29"/>
      <c r="E461" s="30"/>
    </row>
    <row r="462" ht="15.75" customHeight="1">
      <c r="D462" s="29"/>
      <c r="E462" s="30"/>
    </row>
    <row r="463" ht="15.75" customHeight="1">
      <c r="D463" s="29"/>
      <c r="E463" s="30"/>
    </row>
    <row r="464" ht="15.75" customHeight="1">
      <c r="D464" s="29"/>
      <c r="E464" s="30"/>
    </row>
    <row r="465" ht="15.75" customHeight="1">
      <c r="D465" s="29"/>
      <c r="E465" s="30"/>
    </row>
    <row r="466" ht="15.75" customHeight="1">
      <c r="D466" s="29"/>
      <c r="E466" s="30"/>
    </row>
    <row r="467" ht="15.75" customHeight="1">
      <c r="D467" s="29"/>
      <c r="E467" s="30"/>
    </row>
    <row r="468" ht="15.75" customHeight="1">
      <c r="D468" s="29"/>
      <c r="E468" s="30"/>
    </row>
    <row r="469" ht="15.75" customHeight="1">
      <c r="D469" s="29"/>
      <c r="E469" s="30"/>
    </row>
    <row r="470" ht="15.75" customHeight="1">
      <c r="D470" s="29"/>
      <c r="E470" s="30"/>
    </row>
    <row r="471" ht="15.75" customHeight="1">
      <c r="D471" s="29"/>
      <c r="E471" s="30"/>
    </row>
    <row r="472" ht="15.75" customHeight="1">
      <c r="D472" s="29"/>
      <c r="E472" s="30"/>
    </row>
    <row r="473" ht="15.75" customHeight="1">
      <c r="D473" s="29"/>
      <c r="E473" s="30"/>
    </row>
    <row r="474" ht="15.75" customHeight="1">
      <c r="D474" s="29"/>
      <c r="E474" s="30"/>
    </row>
    <row r="475" ht="15.75" customHeight="1">
      <c r="D475" s="29"/>
      <c r="E475" s="30"/>
    </row>
    <row r="476" ht="15.75" customHeight="1">
      <c r="D476" s="29"/>
      <c r="E476" s="30"/>
    </row>
    <row r="477" ht="15.75" customHeight="1">
      <c r="D477" s="29"/>
      <c r="E477" s="30"/>
    </row>
    <row r="478" ht="15.75" customHeight="1">
      <c r="D478" s="29"/>
      <c r="E478" s="30"/>
    </row>
    <row r="479" ht="15.75" customHeight="1">
      <c r="D479" s="29"/>
      <c r="E479" s="30"/>
    </row>
    <row r="480" ht="15.75" customHeight="1">
      <c r="D480" s="29"/>
      <c r="E480" s="30"/>
    </row>
    <row r="481" ht="15.75" customHeight="1">
      <c r="D481" s="29"/>
      <c r="E481" s="30"/>
    </row>
    <row r="482" ht="15.75" customHeight="1">
      <c r="D482" s="29"/>
      <c r="E482" s="30"/>
    </row>
    <row r="483" ht="15.75" customHeight="1">
      <c r="D483" s="29"/>
      <c r="E483" s="30"/>
    </row>
    <row r="484" ht="15.75" customHeight="1">
      <c r="D484" s="29"/>
      <c r="E484" s="30"/>
    </row>
    <row r="485" ht="15.75" customHeight="1">
      <c r="D485" s="29"/>
      <c r="E485" s="30"/>
    </row>
    <row r="486" ht="15.75" customHeight="1">
      <c r="D486" s="29"/>
      <c r="E486" s="30"/>
    </row>
    <row r="487" ht="15.75" customHeight="1">
      <c r="D487" s="29"/>
      <c r="E487" s="30"/>
    </row>
    <row r="488" ht="15.75" customHeight="1">
      <c r="D488" s="29"/>
      <c r="E488" s="30"/>
    </row>
    <row r="489" ht="15.75" customHeight="1">
      <c r="D489" s="29"/>
      <c r="E489" s="30"/>
    </row>
    <row r="490" ht="15.75" customHeight="1">
      <c r="D490" s="29"/>
      <c r="E490" s="30"/>
    </row>
    <row r="491" ht="15.75" customHeight="1">
      <c r="D491" s="29"/>
      <c r="E491" s="30"/>
    </row>
    <row r="492" ht="15.75" customHeight="1">
      <c r="D492" s="29"/>
      <c r="E492" s="30"/>
    </row>
    <row r="493" ht="15.75" customHeight="1">
      <c r="D493" s="29"/>
      <c r="E493" s="30"/>
    </row>
    <row r="494" ht="15.75" customHeight="1">
      <c r="D494" s="29"/>
      <c r="E494" s="30"/>
    </row>
    <row r="495" ht="15.75" customHeight="1">
      <c r="D495" s="29"/>
      <c r="E495" s="30"/>
    </row>
    <row r="496" ht="15.75" customHeight="1">
      <c r="D496" s="29"/>
      <c r="E496" s="30"/>
    </row>
    <row r="497" ht="15.75" customHeight="1">
      <c r="D497" s="29"/>
      <c r="E497" s="30"/>
    </row>
    <row r="498" ht="15.75" customHeight="1">
      <c r="D498" s="29"/>
      <c r="E498" s="30"/>
    </row>
    <row r="499" ht="15.75" customHeight="1">
      <c r="D499" s="29"/>
      <c r="E499" s="30"/>
    </row>
    <row r="500" ht="15.75" customHeight="1">
      <c r="D500" s="29"/>
      <c r="E500" s="30"/>
    </row>
    <row r="501" ht="15.75" customHeight="1">
      <c r="D501" s="29"/>
      <c r="E501" s="30"/>
    </row>
    <row r="502" ht="15.75" customHeight="1">
      <c r="D502" s="29"/>
      <c r="E502" s="30"/>
    </row>
    <row r="503" ht="15.75" customHeight="1">
      <c r="D503" s="29"/>
      <c r="E503" s="30"/>
    </row>
    <row r="504" ht="15.75" customHeight="1">
      <c r="D504" s="29"/>
      <c r="E504" s="30"/>
    </row>
    <row r="505" ht="15.75" customHeight="1">
      <c r="D505" s="29"/>
      <c r="E505" s="30"/>
    </row>
    <row r="506" ht="15.75" customHeight="1">
      <c r="D506" s="29"/>
      <c r="E506" s="30"/>
    </row>
    <row r="507" ht="15.75" customHeight="1">
      <c r="D507" s="29"/>
      <c r="E507" s="30"/>
    </row>
    <row r="508" ht="15.75" customHeight="1">
      <c r="D508" s="29"/>
      <c r="E508" s="30"/>
    </row>
    <row r="509" ht="15.75" customHeight="1">
      <c r="D509" s="29"/>
      <c r="E509" s="30"/>
    </row>
    <row r="510" ht="15.75" customHeight="1">
      <c r="D510" s="29"/>
      <c r="E510" s="30"/>
    </row>
    <row r="511" ht="15.75" customHeight="1">
      <c r="D511" s="29"/>
      <c r="E511" s="30"/>
    </row>
    <row r="512" ht="15.75" customHeight="1">
      <c r="D512" s="29"/>
      <c r="E512" s="30"/>
    </row>
    <row r="513" ht="15.75" customHeight="1">
      <c r="D513" s="29"/>
      <c r="E513" s="30"/>
    </row>
    <row r="514" ht="15.75" customHeight="1">
      <c r="D514" s="29"/>
      <c r="E514" s="30"/>
    </row>
    <row r="515" ht="15.75" customHeight="1">
      <c r="D515" s="29"/>
      <c r="E515" s="30"/>
    </row>
    <row r="516" ht="15.75" customHeight="1">
      <c r="D516" s="29"/>
      <c r="E516" s="30"/>
    </row>
    <row r="517" ht="15.75" customHeight="1">
      <c r="D517" s="29"/>
      <c r="E517" s="30"/>
    </row>
    <row r="518" ht="15.75" customHeight="1">
      <c r="D518" s="29"/>
      <c r="E518" s="30"/>
    </row>
    <row r="519" ht="15.75" customHeight="1">
      <c r="D519" s="29"/>
      <c r="E519" s="30"/>
    </row>
    <row r="520" ht="15.75" customHeight="1">
      <c r="D520" s="29"/>
      <c r="E520" s="30"/>
    </row>
    <row r="521" ht="15.75" customHeight="1">
      <c r="D521" s="29"/>
      <c r="E521" s="30"/>
    </row>
    <row r="522" ht="15.75" customHeight="1">
      <c r="D522" s="29"/>
      <c r="E522" s="30"/>
    </row>
    <row r="523" ht="15.75" customHeight="1">
      <c r="D523" s="29"/>
      <c r="E523" s="30"/>
    </row>
    <row r="524" ht="15.75" customHeight="1">
      <c r="D524" s="29"/>
      <c r="E524" s="30"/>
    </row>
    <row r="525" ht="15.75" customHeight="1">
      <c r="D525" s="29"/>
      <c r="E525" s="30"/>
    </row>
    <row r="526" ht="15.75" customHeight="1">
      <c r="D526" s="29"/>
      <c r="E526" s="30"/>
    </row>
    <row r="527" ht="15.75" customHeight="1">
      <c r="D527" s="29"/>
      <c r="E527" s="30"/>
    </row>
    <row r="528" ht="15.75" customHeight="1">
      <c r="D528" s="29"/>
      <c r="E528" s="30"/>
    </row>
    <row r="529" ht="15.75" customHeight="1">
      <c r="D529" s="29"/>
      <c r="E529" s="30"/>
    </row>
    <row r="530" ht="15.75" customHeight="1">
      <c r="D530" s="29"/>
      <c r="E530" s="30"/>
    </row>
    <row r="531" ht="15.75" customHeight="1">
      <c r="D531" s="29"/>
      <c r="E531" s="30"/>
    </row>
    <row r="532" ht="15.75" customHeight="1">
      <c r="D532" s="29"/>
      <c r="E532" s="30"/>
    </row>
    <row r="533" ht="15.75" customHeight="1">
      <c r="D533" s="29"/>
      <c r="E533" s="30"/>
    </row>
    <row r="534" ht="15.75" customHeight="1">
      <c r="D534" s="29"/>
      <c r="E534" s="30"/>
    </row>
    <row r="535" ht="15.75" customHeight="1">
      <c r="D535" s="29"/>
      <c r="E535" s="30"/>
    </row>
    <row r="536" ht="15.75" customHeight="1">
      <c r="D536" s="29"/>
      <c r="E536" s="30"/>
    </row>
    <row r="537" ht="15.75" customHeight="1">
      <c r="D537" s="29"/>
      <c r="E537" s="30"/>
    </row>
    <row r="538" ht="15.75" customHeight="1">
      <c r="D538" s="29"/>
      <c r="E538" s="30"/>
    </row>
    <row r="539" ht="15.75" customHeight="1">
      <c r="D539" s="29"/>
      <c r="E539" s="30"/>
    </row>
    <row r="540" ht="15.75" customHeight="1">
      <c r="D540" s="29"/>
      <c r="E540" s="30"/>
    </row>
    <row r="541" ht="15.75" customHeight="1">
      <c r="D541" s="29"/>
      <c r="E541" s="30"/>
    </row>
    <row r="542" ht="15.75" customHeight="1">
      <c r="D542" s="29"/>
      <c r="E542" s="30"/>
    </row>
    <row r="543" ht="15.75" customHeight="1">
      <c r="D543" s="29"/>
      <c r="E543" s="30"/>
    </row>
    <row r="544" ht="15.75" customHeight="1">
      <c r="D544" s="29"/>
      <c r="E544" s="30"/>
    </row>
    <row r="545" ht="15.75" customHeight="1">
      <c r="D545" s="29"/>
      <c r="E545" s="30"/>
    </row>
    <row r="546" ht="15.75" customHeight="1">
      <c r="D546" s="29"/>
      <c r="E546" s="30"/>
    </row>
    <row r="547" ht="15.75" customHeight="1">
      <c r="D547" s="29"/>
      <c r="E547" s="30"/>
    </row>
    <row r="548" ht="15.75" customHeight="1">
      <c r="D548" s="29"/>
      <c r="E548" s="30"/>
    </row>
    <row r="549" ht="15.75" customHeight="1">
      <c r="D549" s="29"/>
      <c r="E549" s="30"/>
    </row>
    <row r="550" ht="15.75" customHeight="1">
      <c r="D550" s="29"/>
      <c r="E550" s="30"/>
    </row>
    <row r="551" ht="15.75" customHeight="1">
      <c r="D551" s="29"/>
      <c r="E551" s="30"/>
    </row>
    <row r="552" ht="15.75" customHeight="1">
      <c r="D552" s="29"/>
      <c r="E552" s="30"/>
    </row>
    <row r="553" ht="15.75" customHeight="1">
      <c r="D553" s="29"/>
      <c r="E553" s="30"/>
    </row>
    <row r="554" ht="15.75" customHeight="1">
      <c r="D554" s="29"/>
      <c r="E554" s="30"/>
    </row>
    <row r="555" ht="15.75" customHeight="1">
      <c r="D555" s="29"/>
      <c r="E555" s="30"/>
    </row>
    <row r="556" ht="15.75" customHeight="1">
      <c r="D556" s="29"/>
      <c r="E556" s="30"/>
    </row>
    <row r="557" ht="15.75" customHeight="1">
      <c r="D557" s="29"/>
      <c r="E557" s="30"/>
    </row>
    <row r="558" ht="15.75" customHeight="1">
      <c r="D558" s="29"/>
      <c r="E558" s="30"/>
    </row>
    <row r="559" ht="15.75" customHeight="1">
      <c r="D559" s="29"/>
      <c r="E559" s="30"/>
    </row>
    <row r="560" ht="15.75" customHeight="1">
      <c r="D560" s="29"/>
      <c r="E560" s="30"/>
    </row>
    <row r="561" ht="15.75" customHeight="1">
      <c r="D561" s="29"/>
      <c r="E561" s="30"/>
    </row>
    <row r="562" ht="15.75" customHeight="1">
      <c r="D562" s="29"/>
      <c r="E562" s="30"/>
    </row>
    <row r="563" ht="15.75" customHeight="1">
      <c r="D563" s="29"/>
      <c r="E563" s="30"/>
    </row>
    <row r="564" ht="15.75" customHeight="1">
      <c r="D564" s="29"/>
      <c r="E564" s="30"/>
    </row>
    <row r="565" ht="15.75" customHeight="1">
      <c r="D565" s="29"/>
      <c r="E565" s="30"/>
    </row>
    <row r="566" ht="15.75" customHeight="1">
      <c r="D566" s="29"/>
      <c r="E566" s="30"/>
    </row>
    <row r="567" ht="15.75" customHeight="1">
      <c r="D567" s="29"/>
      <c r="E567" s="30"/>
    </row>
    <row r="568" ht="15.75" customHeight="1">
      <c r="D568" s="29"/>
      <c r="E568" s="30"/>
    </row>
    <row r="569" ht="15.75" customHeight="1">
      <c r="D569" s="29"/>
      <c r="E569" s="30"/>
    </row>
    <row r="570" ht="15.75" customHeight="1">
      <c r="D570" s="29"/>
      <c r="E570" s="30"/>
    </row>
    <row r="571" ht="15.75" customHeight="1">
      <c r="D571" s="29"/>
      <c r="E571" s="30"/>
    </row>
    <row r="572" ht="15.75" customHeight="1">
      <c r="D572" s="29"/>
      <c r="E572" s="30"/>
    </row>
    <row r="573" ht="15.75" customHeight="1">
      <c r="D573" s="29"/>
      <c r="E573" s="30"/>
    </row>
    <row r="574" ht="15.75" customHeight="1">
      <c r="D574" s="29"/>
      <c r="E574" s="30"/>
    </row>
    <row r="575" ht="15.75" customHeight="1">
      <c r="D575" s="29"/>
      <c r="E575" s="30"/>
    </row>
    <row r="576" ht="15.75" customHeight="1">
      <c r="D576" s="29"/>
      <c r="E576" s="30"/>
    </row>
    <row r="577" ht="15.75" customHeight="1">
      <c r="D577" s="29"/>
      <c r="E577" s="30"/>
    </row>
    <row r="578" ht="15.75" customHeight="1">
      <c r="D578" s="29"/>
      <c r="E578" s="30"/>
    </row>
    <row r="579" ht="15.75" customHeight="1">
      <c r="D579" s="29"/>
      <c r="E579" s="30"/>
    </row>
    <row r="580" ht="15.75" customHeight="1">
      <c r="D580" s="29"/>
      <c r="E580" s="30"/>
    </row>
    <row r="581" ht="15.75" customHeight="1">
      <c r="D581" s="29"/>
      <c r="E581" s="30"/>
    </row>
    <row r="582" ht="15.75" customHeight="1">
      <c r="D582" s="29"/>
      <c r="E582" s="30"/>
    </row>
    <row r="583" ht="15.75" customHeight="1">
      <c r="D583" s="29"/>
      <c r="E583" s="30"/>
    </row>
    <row r="584" ht="15.75" customHeight="1">
      <c r="D584" s="29"/>
      <c r="E584" s="30"/>
    </row>
    <row r="585" ht="15.75" customHeight="1">
      <c r="D585" s="29"/>
      <c r="E585" s="30"/>
    </row>
    <row r="586" ht="15.75" customHeight="1">
      <c r="D586" s="29"/>
      <c r="E586" s="30"/>
    </row>
    <row r="587" ht="15.75" customHeight="1">
      <c r="D587" s="29"/>
      <c r="E587" s="30"/>
    </row>
    <row r="588" ht="15.75" customHeight="1">
      <c r="D588" s="29"/>
      <c r="E588" s="30"/>
    </row>
    <row r="589" ht="15.75" customHeight="1">
      <c r="D589" s="29"/>
      <c r="E589" s="30"/>
    </row>
    <row r="590" ht="15.75" customHeight="1">
      <c r="D590" s="29"/>
      <c r="E590" s="30"/>
    </row>
    <row r="591" ht="15.75" customHeight="1">
      <c r="D591" s="29"/>
      <c r="E591" s="30"/>
    </row>
    <row r="592" ht="15.75" customHeight="1">
      <c r="D592" s="29"/>
      <c r="E592" s="30"/>
    </row>
    <row r="593" ht="15.75" customHeight="1">
      <c r="D593" s="29"/>
      <c r="E593" s="30"/>
    </row>
    <row r="594" ht="15.75" customHeight="1">
      <c r="D594" s="29"/>
      <c r="E594" s="30"/>
    </row>
    <row r="595" ht="15.75" customHeight="1">
      <c r="D595" s="29"/>
      <c r="E595" s="30"/>
    </row>
    <row r="596" ht="15.75" customHeight="1">
      <c r="D596" s="29"/>
      <c r="E596" s="30"/>
    </row>
    <row r="597" ht="15.75" customHeight="1">
      <c r="D597" s="29"/>
      <c r="E597" s="30"/>
    </row>
    <row r="598" ht="15.75" customHeight="1">
      <c r="D598" s="29"/>
      <c r="E598" s="30"/>
    </row>
    <row r="599" ht="15.75" customHeight="1">
      <c r="D599" s="29"/>
      <c r="E599" s="30"/>
    </row>
    <row r="600" ht="15.75" customHeight="1">
      <c r="D600" s="29"/>
      <c r="E600" s="30"/>
    </row>
    <row r="601" ht="15.75" customHeight="1">
      <c r="D601" s="29"/>
      <c r="E601" s="30"/>
    </row>
    <row r="602" ht="15.75" customHeight="1">
      <c r="D602" s="29"/>
      <c r="E602" s="30"/>
    </row>
    <row r="603" ht="15.75" customHeight="1">
      <c r="D603" s="29"/>
      <c r="E603" s="30"/>
    </row>
    <row r="604" ht="15.75" customHeight="1">
      <c r="D604" s="29"/>
      <c r="E604" s="30"/>
    </row>
    <row r="605" ht="15.75" customHeight="1">
      <c r="D605" s="29"/>
      <c r="E605" s="30"/>
    </row>
    <row r="606" ht="15.75" customHeight="1">
      <c r="D606" s="29"/>
      <c r="E606" s="30"/>
    </row>
    <row r="607" ht="15.75" customHeight="1">
      <c r="D607" s="29"/>
      <c r="E607" s="30"/>
    </row>
    <row r="608" ht="15.75" customHeight="1">
      <c r="D608" s="29"/>
      <c r="E608" s="30"/>
    </row>
    <row r="609" ht="15.75" customHeight="1">
      <c r="D609" s="29"/>
      <c r="E609" s="30"/>
    </row>
    <row r="610" ht="15.75" customHeight="1">
      <c r="D610" s="29"/>
      <c r="E610" s="30"/>
    </row>
    <row r="611" ht="15.75" customHeight="1">
      <c r="D611" s="29"/>
      <c r="E611" s="30"/>
    </row>
    <row r="612" ht="15.75" customHeight="1">
      <c r="D612" s="29"/>
      <c r="E612" s="30"/>
    </row>
    <row r="613" ht="15.75" customHeight="1">
      <c r="D613" s="29"/>
      <c r="E613" s="30"/>
    </row>
    <row r="614" ht="15.75" customHeight="1">
      <c r="D614" s="29"/>
      <c r="E614" s="30"/>
    </row>
    <row r="615" ht="15.75" customHeight="1">
      <c r="D615" s="29"/>
      <c r="E615" s="30"/>
    </row>
    <row r="616" ht="15.75" customHeight="1">
      <c r="D616" s="29"/>
      <c r="E616" s="30"/>
    </row>
    <row r="617" ht="15.75" customHeight="1">
      <c r="D617" s="29"/>
      <c r="E617" s="30"/>
    </row>
    <row r="618" ht="15.75" customHeight="1">
      <c r="D618" s="29"/>
      <c r="E618" s="30"/>
    </row>
    <row r="619" ht="15.75" customHeight="1">
      <c r="D619" s="29"/>
      <c r="E619" s="30"/>
    </row>
    <row r="620" ht="15.75" customHeight="1">
      <c r="D620" s="29"/>
      <c r="E620" s="30"/>
    </row>
    <row r="621" ht="15.75" customHeight="1">
      <c r="D621" s="29"/>
      <c r="E621" s="30"/>
    </row>
    <row r="622" ht="15.75" customHeight="1">
      <c r="D622" s="29"/>
      <c r="E622" s="30"/>
    </row>
    <row r="623" ht="15.75" customHeight="1">
      <c r="D623" s="29"/>
      <c r="E623" s="30"/>
    </row>
    <row r="624" ht="15.75" customHeight="1">
      <c r="D624" s="29"/>
      <c r="E624" s="30"/>
    </row>
    <row r="625" ht="15.75" customHeight="1">
      <c r="D625" s="29"/>
      <c r="E625" s="30"/>
    </row>
    <row r="626" ht="15.75" customHeight="1">
      <c r="D626" s="29"/>
      <c r="E626" s="30"/>
    </row>
    <row r="627" ht="15.75" customHeight="1">
      <c r="D627" s="29"/>
      <c r="E627" s="30"/>
    </row>
    <row r="628" ht="15.75" customHeight="1">
      <c r="D628" s="29"/>
      <c r="E628" s="30"/>
    </row>
    <row r="629" ht="15.75" customHeight="1">
      <c r="D629" s="29"/>
      <c r="E629" s="30"/>
    </row>
    <row r="630" ht="15.75" customHeight="1">
      <c r="D630" s="29"/>
      <c r="E630" s="30"/>
    </row>
    <row r="631" ht="15.75" customHeight="1">
      <c r="D631" s="29"/>
      <c r="E631" s="30"/>
    </row>
    <row r="632" ht="15.75" customHeight="1">
      <c r="D632" s="29"/>
      <c r="E632" s="30"/>
    </row>
    <row r="633" ht="15.75" customHeight="1">
      <c r="D633" s="29"/>
      <c r="E633" s="30"/>
    </row>
    <row r="634" ht="15.75" customHeight="1">
      <c r="D634" s="29"/>
      <c r="E634" s="30"/>
    </row>
    <row r="635" ht="15.75" customHeight="1">
      <c r="D635" s="29"/>
      <c r="E635" s="30"/>
    </row>
    <row r="636" ht="15.75" customHeight="1">
      <c r="D636" s="29"/>
      <c r="E636" s="30"/>
    </row>
    <row r="637" ht="15.75" customHeight="1">
      <c r="D637" s="29"/>
      <c r="E637" s="30"/>
    </row>
    <row r="638" ht="15.75" customHeight="1">
      <c r="D638" s="29"/>
      <c r="E638" s="30"/>
    </row>
    <row r="639" ht="15.75" customHeight="1">
      <c r="D639" s="29"/>
      <c r="E639" s="30"/>
    </row>
    <row r="640" ht="15.75" customHeight="1">
      <c r="D640" s="29"/>
      <c r="E640" s="30"/>
    </row>
    <row r="641" ht="15.75" customHeight="1">
      <c r="D641" s="29"/>
      <c r="E641" s="30"/>
    </row>
    <row r="642" ht="15.75" customHeight="1">
      <c r="D642" s="29"/>
      <c r="E642" s="30"/>
    </row>
    <row r="643" ht="15.75" customHeight="1">
      <c r="D643" s="29"/>
      <c r="E643" s="30"/>
    </row>
    <row r="644" ht="15.75" customHeight="1">
      <c r="D644" s="29"/>
      <c r="E644" s="30"/>
    </row>
    <row r="645" ht="15.75" customHeight="1">
      <c r="D645" s="29"/>
      <c r="E645" s="30"/>
    </row>
    <row r="646" ht="15.75" customHeight="1">
      <c r="D646" s="29"/>
      <c r="E646" s="30"/>
    </row>
    <row r="647" ht="15.75" customHeight="1">
      <c r="D647" s="29"/>
      <c r="E647" s="30"/>
    </row>
    <row r="648" ht="15.75" customHeight="1">
      <c r="D648" s="29"/>
      <c r="E648" s="30"/>
    </row>
    <row r="649" ht="15.75" customHeight="1">
      <c r="D649" s="29"/>
      <c r="E649" s="30"/>
    </row>
    <row r="650" ht="15.75" customHeight="1">
      <c r="D650" s="29"/>
      <c r="E650" s="30"/>
    </row>
    <row r="651" ht="15.75" customHeight="1">
      <c r="D651" s="29"/>
      <c r="E651" s="30"/>
    </row>
    <row r="652" ht="15.75" customHeight="1">
      <c r="D652" s="29"/>
      <c r="E652" s="30"/>
    </row>
    <row r="653" ht="15.75" customHeight="1">
      <c r="D653" s="29"/>
      <c r="E653" s="30"/>
    </row>
    <row r="654" ht="15.75" customHeight="1">
      <c r="D654" s="29"/>
      <c r="E654" s="30"/>
    </row>
    <row r="655" ht="15.75" customHeight="1">
      <c r="D655" s="29"/>
      <c r="E655" s="30"/>
    </row>
    <row r="656" ht="15.75" customHeight="1">
      <c r="D656" s="29"/>
      <c r="E656" s="30"/>
    </row>
    <row r="657" ht="15.75" customHeight="1">
      <c r="D657" s="29"/>
      <c r="E657" s="30"/>
    </row>
    <row r="658" ht="15.75" customHeight="1">
      <c r="D658" s="29"/>
      <c r="E658" s="30"/>
    </row>
    <row r="659" ht="15.75" customHeight="1">
      <c r="D659" s="29"/>
      <c r="E659" s="30"/>
    </row>
    <row r="660" ht="15.75" customHeight="1">
      <c r="D660" s="29"/>
      <c r="E660" s="30"/>
    </row>
    <row r="661" ht="15.75" customHeight="1">
      <c r="D661" s="29"/>
      <c r="E661" s="30"/>
    </row>
    <row r="662" ht="15.75" customHeight="1">
      <c r="D662" s="29"/>
      <c r="E662" s="30"/>
    </row>
    <row r="663" ht="15.75" customHeight="1">
      <c r="D663" s="29"/>
      <c r="E663" s="30"/>
    </row>
    <row r="664" ht="15.75" customHeight="1">
      <c r="D664" s="29"/>
      <c r="E664" s="30"/>
    </row>
    <row r="665" ht="15.75" customHeight="1">
      <c r="D665" s="29"/>
      <c r="E665" s="30"/>
    </row>
    <row r="666" ht="15.75" customHeight="1">
      <c r="D666" s="29"/>
      <c r="E666" s="30"/>
    </row>
    <row r="667" ht="15.75" customHeight="1">
      <c r="D667" s="29"/>
      <c r="E667" s="30"/>
    </row>
    <row r="668" ht="15.75" customHeight="1">
      <c r="D668" s="29"/>
      <c r="E668" s="30"/>
    </row>
    <row r="669" ht="15.75" customHeight="1">
      <c r="D669" s="29"/>
      <c r="E669" s="30"/>
    </row>
    <row r="670" ht="15.75" customHeight="1">
      <c r="D670" s="29"/>
      <c r="E670" s="30"/>
    </row>
    <row r="671" ht="15.75" customHeight="1">
      <c r="D671" s="29"/>
      <c r="E671" s="30"/>
    </row>
    <row r="672" ht="15.75" customHeight="1">
      <c r="D672" s="29"/>
      <c r="E672" s="30"/>
    </row>
    <row r="673" ht="15.75" customHeight="1">
      <c r="D673" s="29"/>
      <c r="E673" s="30"/>
    </row>
    <row r="674" ht="15.75" customHeight="1">
      <c r="D674" s="29"/>
      <c r="E674" s="30"/>
    </row>
    <row r="675" ht="15.75" customHeight="1">
      <c r="D675" s="29"/>
      <c r="E675" s="30"/>
    </row>
    <row r="676" ht="15.75" customHeight="1">
      <c r="D676" s="29"/>
      <c r="E676" s="30"/>
    </row>
    <row r="677" ht="15.75" customHeight="1">
      <c r="D677" s="29"/>
      <c r="E677" s="30"/>
    </row>
    <row r="678" ht="15.75" customHeight="1">
      <c r="D678" s="29"/>
      <c r="E678" s="30"/>
    </row>
    <row r="679" ht="15.75" customHeight="1">
      <c r="D679" s="29"/>
      <c r="E679" s="30"/>
    </row>
    <row r="680" ht="15.75" customHeight="1">
      <c r="D680" s="29"/>
      <c r="E680" s="30"/>
    </row>
    <row r="681" ht="15.75" customHeight="1">
      <c r="D681" s="29"/>
      <c r="E681" s="30"/>
    </row>
    <row r="682" ht="15.75" customHeight="1">
      <c r="D682" s="29"/>
      <c r="E682" s="30"/>
    </row>
    <row r="683" ht="15.75" customHeight="1">
      <c r="D683" s="29"/>
      <c r="E683" s="30"/>
    </row>
    <row r="684" ht="15.75" customHeight="1">
      <c r="D684" s="29"/>
      <c r="E684" s="30"/>
    </row>
    <row r="685" ht="15.75" customHeight="1">
      <c r="D685" s="29"/>
      <c r="E685" s="30"/>
    </row>
    <row r="686" ht="15.75" customHeight="1">
      <c r="D686" s="29"/>
      <c r="E686" s="30"/>
    </row>
    <row r="687" ht="15.75" customHeight="1">
      <c r="D687" s="29"/>
      <c r="E687" s="30"/>
    </row>
    <row r="688" ht="15.75" customHeight="1">
      <c r="D688" s="29"/>
      <c r="E688" s="30"/>
    </row>
    <row r="689" ht="15.75" customHeight="1">
      <c r="D689" s="29"/>
      <c r="E689" s="30"/>
    </row>
    <row r="690" ht="15.75" customHeight="1">
      <c r="D690" s="29"/>
      <c r="E690" s="30"/>
    </row>
    <row r="691" ht="15.75" customHeight="1">
      <c r="D691" s="29"/>
      <c r="E691" s="30"/>
    </row>
    <row r="692" ht="15.75" customHeight="1">
      <c r="D692" s="29"/>
      <c r="E692" s="30"/>
    </row>
    <row r="693" ht="15.75" customHeight="1">
      <c r="D693" s="29"/>
      <c r="E693" s="30"/>
    </row>
    <row r="694" ht="15.75" customHeight="1">
      <c r="D694" s="29"/>
      <c r="E694" s="30"/>
    </row>
    <row r="695" ht="15.75" customHeight="1">
      <c r="D695" s="29"/>
      <c r="E695" s="30"/>
    </row>
    <row r="696" ht="15.75" customHeight="1">
      <c r="D696" s="29"/>
      <c r="E696" s="30"/>
    </row>
    <row r="697" ht="15.75" customHeight="1">
      <c r="D697" s="29"/>
      <c r="E697" s="30"/>
    </row>
    <row r="698" ht="15.75" customHeight="1">
      <c r="D698" s="29"/>
      <c r="E698" s="30"/>
    </row>
    <row r="699" ht="15.75" customHeight="1">
      <c r="D699" s="29"/>
      <c r="E699" s="30"/>
    </row>
    <row r="700" ht="15.75" customHeight="1">
      <c r="D700" s="29"/>
      <c r="E700" s="30"/>
    </row>
    <row r="701" ht="15.75" customHeight="1">
      <c r="D701" s="29"/>
      <c r="E701" s="30"/>
    </row>
    <row r="702" ht="15.75" customHeight="1">
      <c r="D702" s="29"/>
      <c r="E702" s="30"/>
    </row>
    <row r="703" ht="15.75" customHeight="1">
      <c r="D703" s="29"/>
      <c r="E703" s="30"/>
    </row>
    <row r="704" ht="15.75" customHeight="1">
      <c r="D704" s="29"/>
      <c r="E704" s="30"/>
    </row>
    <row r="705" ht="15.75" customHeight="1">
      <c r="D705" s="29"/>
      <c r="E705" s="30"/>
    </row>
    <row r="706" ht="15.75" customHeight="1">
      <c r="D706" s="29"/>
      <c r="E706" s="30"/>
    </row>
    <row r="707" ht="15.75" customHeight="1">
      <c r="D707" s="29"/>
      <c r="E707" s="30"/>
    </row>
    <row r="708" ht="15.75" customHeight="1">
      <c r="D708" s="29"/>
      <c r="E708" s="30"/>
    </row>
    <row r="709" ht="15.75" customHeight="1">
      <c r="D709" s="29"/>
      <c r="E709" s="30"/>
    </row>
    <row r="710" ht="15.75" customHeight="1">
      <c r="D710" s="29"/>
      <c r="E710" s="30"/>
    </row>
    <row r="711" ht="15.75" customHeight="1">
      <c r="D711" s="29"/>
      <c r="E711" s="30"/>
    </row>
    <row r="712" ht="15.75" customHeight="1">
      <c r="D712" s="29"/>
      <c r="E712" s="30"/>
    </row>
    <row r="713" ht="15.75" customHeight="1">
      <c r="D713" s="29"/>
      <c r="E713" s="30"/>
    </row>
    <row r="714" ht="15.75" customHeight="1">
      <c r="D714" s="29"/>
      <c r="E714" s="30"/>
    </row>
    <row r="715" ht="15.75" customHeight="1">
      <c r="D715" s="29"/>
      <c r="E715" s="30"/>
    </row>
    <row r="716" ht="15.75" customHeight="1">
      <c r="D716" s="29"/>
      <c r="E716" s="30"/>
    </row>
    <row r="717" ht="15.75" customHeight="1">
      <c r="D717" s="29"/>
      <c r="E717" s="30"/>
    </row>
    <row r="718" ht="15.75" customHeight="1">
      <c r="D718" s="29"/>
      <c r="E718" s="30"/>
    </row>
    <row r="719" ht="15.75" customHeight="1">
      <c r="D719" s="29"/>
      <c r="E719" s="30"/>
    </row>
    <row r="720" ht="15.75" customHeight="1">
      <c r="D720" s="29"/>
      <c r="E720" s="30"/>
    </row>
    <row r="721" ht="15.75" customHeight="1">
      <c r="D721" s="29"/>
      <c r="E721" s="30"/>
    </row>
    <row r="722" ht="15.75" customHeight="1">
      <c r="D722" s="29"/>
      <c r="E722" s="30"/>
    </row>
    <row r="723" ht="15.75" customHeight="1">
      <c r="D723" s="29"/>
      <c r="E723" s="30"/>
    </row>
    <row r="724" ht="15.75" customHeight="1">
      <c r="D724" s="29"/>
      <c r="E724" s="30"/>
    </row>
    <row r="725" ht="15.75" customHeight="1">
      <c r="D725" s="29"/>
      <c r="E725" s="30"/>
    </row>
    <row r="726" ht="15.75" customHeight="1">
      <c r="D726" s="29"/>
      <c r="E726" s="30"/>
    </row>
    <row r="727" ht="15.75" customHeight="1">
      <c r="D727" s="29"/>
      <c r="E727" s="30"/>
    </row>
    <row r="728" ht="15.75" customHeight="1">
      <c r="D728" s="29"/>
      <c r="E728" s="30"/>
    </row>
    <row r="729" ht="15.75" customHeight="1">
      <c r="D729" s="29"/>
      <c r="E729" s="30"/>
    </row>
    <row r="730" ht="15.75" customHeight="1">
      <c r="D730" s="29"/>
      <c r="E730" s="30"/>
    </row>
    <row r="731" ht="15.75" customHeight="1">
      <c r="D731" s="29"/>
      <c r="E731" s="30"/>
    </row>
    <row r="732" ht="15.75" customHeight="1">
      <c r="D732" s="29"/>
      <c r="E732" s="30"/>
    </row>
    <row r="733" ht="15.75" customHeight="1">
      <c r="D733" s="29"/>
      <c r="E733" s="30"/>
    </row>
    <row r="734" ht="15.75" customHeight="1">
      <c r="D734" s="29"/>
      <c r="E734" s="30"/>
    </row>
    <row r="735" ht="15.75" customHeight="1">
      <c r="D735" s="29"/>
      <c r="E735" s="30"/>
    </row>
    <row r="736" ht="15.75" customHeight="1">
      <c r="D736" s="29"/>
      <c r="E736" s="30"/>
    </row>
    <row r="737" ht="15.75" customHeight="1">
      <c r="D737" s="29"/>
      <c r="E737" s="30"/>
    </row>
    <row r="738" ht="15.75" customHeight="1">
      <c r="D738" s="29"/>
      <c r="E738" s="30"/>
    </row>
    <row r="739" ht="15.75" customHeight="1">
      <c r="D739" s="29"/>
      <c r="E739" s="30"/>
    </row>
    <row r="740" ht="15.75" customHeight="1">
      <c r="D740" s="29"/>
      <c r="E740" s="30"/>
    </row>
    <row r="741" ht="15.75" customHeight="1">
      <c r="D741" s="29"/>
      <c r="E741" s="30"/>
    </row>
    <row r="742" ht="15.75" customHeight="1">
      <c r="D742" s="29"/>
      <c r="E742" s="30"/>
    </row>
    <row r="743" ht="15.75" customHeight="1">
      <c r="D743" s="29"/>
      <c r="E743" s="30"/>
    </row>
    <row r="744" ht="15.75" customHeight="1">
      <c r="D744" s="29"/>
      <c r="E744" s="30"/>
    </row>
    <row r="745" ht="15.75" customHeight="1">
      <c r="D745" s="29"/>
      <c r="E745" s="30"/>
    </row>
    <row r="746" ht="15.75" customHeight="1">
      <c r="D746" s="29"/>
      <c r="E746" s="30"/>
    </row>
    <row r="747" ht="15.75" customHeight="1">
      <c r="D747" s="29"/>
      <c r="E747" s="30"/>
    </row>
    <row r="748" ht="15.75" customHeight="1">
      <c r="D748" s="29"/>
      <c r="E748" s="30"/>
    </row>
    <row r="749" ht="15.75" customHeight="1">
      <c r="D749" s="29"/>
      <c r="E749" s="30"/>
    </row>
    <row r="750" ht="15.75" customHeight="1">
      <c r="D750" s="29"/>
      <c r="E750" s="30"/>
    </row>
    <row r="751" ht="15.75" customHeight="1">
      <c r="D751" s="29"/>
      <c r="E751" s="30"/>
    </row>
    <row r="752" ht="15.75" customHeight="1">
      <c r="D752" s="29"/>
      <c r="E752" s="30"/>
    </row>
    <row r="753" ht="15.75" customHeight="1">
      <c r="D753" s="29"/>
      <c r="E753" s="30"/>
    </row>
    <row r="754" ht="15.75" customHeight="1">
      <c r="D754" s="29"/>
      <c r="E754" s="30"/>
    </row>
    <row r="755" ht="15.75" customHeight="1">
      <c r="D755" s="29"/>
      <c r="E755" s="30"/>
    </row>
    <row r="756" ht="15.75" customHeight="1">
      <c r="D756" s="29"/>
      <c r="E756" s="30"/>
    </row>
    <row r="757" ht="15.75" customHeight="1">
      <c r="D757" s="29"/>
      <c r="E757" s="30"/>
    </row>
    <row r="758" ht="15.75" customHeight="1">
      <c r="D758" s="29"/>
      <c r="E758" s="30"/>
    </row>
    <row r="759" ht="15.75" customHeight="1">
      <c r="D759" s="29"/>
      <c r="E759" s="30"/>
    </row>
    <row r="760" ht="15.75" customHeight="1">
      <c r="D760" s="29"/>
      <c r="E760" s="30"/>
    </row>
    <row r="761" ht="15.75" customHeight="1">
      <c r="D761" s="29"/>
      <c r="E761" s="30"/>
    </row>
    <row r="762" ht="15.75" customHeight="1">
      <c r="D762" s="29"/>
      <c r="E762" s="30"/>
    </row>
    <row r="763" ht="15.75" customHeight="1">
      <c r="D763" s="29"/>
      <c r="E763" s="30"/>
    </row>
    <row r="764" ht="15.75" customHeight="1">
      <c r="D764" s="29"/>
      <c r="E764" s="30"/>
    </row>
    <row r="765" ht="15.75" customHeight="1">
      <c r="D765" s="29"/>
      <c r="E765" s="30"/>
    </row>
    <row r="766" ht="15.75" customHeight="1">
      <c r="D766" s="29"/>
      <c r="E766" s="30"/>
    </row>
    <row r="767" ht="15.75" customHeight="1">
      <c r="D767" s="29"/>
      <c r="E767" s="30"/>
    </row>
    <row r="768" ht="15.75" customHeight="1">
      <c r="D768" s="29"/>
      <c r="E768" s="30"/>
    </row>
    <row r="769" ht="15.75" customHeight="1">
      <c r="D769" s="29"/>
      <c r="E769" s="30"/>
    </row>
    <row r="770" ht="15.75" customHeight="1">
      <c r="D770" s="29"/>
      <c r="E770" s="30"/>
    </row>
    <row r="771" ht="15.75" customHeight="1">
      <c r="D771" s="29"/>
      <c r="E771" s="30"/>
    </row>
    <row r="772" ht="15.75" customHeight="1">
      <c r="D772" s="29"/>
      <c r="E772" s="30"/>
    </row>
    <row r="773" ht="15.75" customHeight="1">
      <c r="D773" s="29"/>
      <c r="E773" s="30"/>
    </row>
    <row r="774" ht="15.75" customHeight="1">
      <c r="D774" s="29"/>
      <c r="E774" s="30"/>
    </row>
    <row r="775" ht="15.75" customHeight="1">
      <c r="D775" s="29"/>
      <c r="E775" s="30"/>
    </row>
    <row r="776" ht="15.75" customHeight="1">
      <c r="D776" s="29"/>
      <c r="E776" s="30"/>
    </row>
    <row r="777" ht="15.75" customHeight="1">
      <c r="D777" s="29"/>
      <c r="E777" s="30"/>
    </row>
    <row r="778" ht="15.75" customHeight="1">
      <c r="D778" s="29"/>
      <c r="E778" s="30"/>
    </row>
    <row r="779" ht="15.75" customHeight="1">
      <c r="D779" s="29"/>
      <c r="E779" s="30"/>
    </row>
    <row r="780" ht="15.75" customHeight="1">
      <c r="D780" s="29"/>
      <c r="E780" s="30"/>
    </row>
    <row r="781" ht="15.75" customHeight="1">
      <c r="D781" s="29"/>
      <c r="E781" s="30"/>
    </row>
    <row r="782" ht="15.75" customHeight="1">
      <c r="D782" s="29"/>
      <c r="E782" s="30"/>
    </row>
    <row r="783" ht="15.75" customHeight="1">
      <c r="D783" s="29"/>
      <c r="E783" s="30"/>
    </row>
    <row r="784" ht="15.75" customHeight="1">
      <c r="D784" s="29"/>
      <c r="E784" s="30"/>
    </row>
    <row r="785" ht="15.75" customHeight="1">
      <c r="D785" s="29"/>
      <c r="E785" s="30"/>
    </row>
    <row r="786" ht="15.75" customHeight="1">
      <c r="D786" s="29"/>
      <c r="E786" s="30"/>
    </row>
    <row r="787" ht="15.75" customHeight="1">
      <c r="D787" s="29"/>
      <c r="E787" s="30"/>
    </row>
    <row r="788" ht="15.75" customHeight="1">
      <c r="D788" s="29"/>
      <c r="E788" s="30"/>
    </row>
    <row r="789" ht="15.75" customHeight="1">
      <c r="D789" s="29"/>
      <c r="E789" s="30"/>
    </row>
    <row r="790" ht="15.75" customHeight="1">
      <c r="D790" s="29"/>
      <c r="E790" s="30"/>
    </row>
    <row r="791" ht="15.75" customHeight="1">
      <c r="D791" s="29"/>
      <c r="E791" s="30"/>
    </row>
    <row r="792" ht="15.75" customHeight="1">
      <c r="D792" s="29"/>
      <c r="E792" s="30"/>
    </row>
    <row r="793" ht="15.75" customHeight="1">
      <c r="D793" s="29"/>
      <c r="E793" s="30"/>
    </row>
    <row r="794" ht="15.75" customHeight="1">
      <c r="D794" s="29"/>
      <c r="E794" s="30"/>
    </row>
    <row r="795" ht="15.75" customHeight="1">
      <c r="D795" s="29"/>
      <c r="E795" s="30"/>
    </row>
    <row r="796" ht="15.75" customHeight="1">
      <c r="D796" s="29"/>
      <c r="E796" s="30"/>
    </row>
    <row r="797" ht="15.75" customHeight="1">
      <c r="D797" s="29"/>
      <c r="E797" s="30"/>
    </row>
    <row r="798" ht="15.75" customHeight="1">
      <c r="D798" s="29"/>
      <c r="E798" s="30"/>
    </row>
    <row r="799" ht="15.75" customHeight="1">
      <c r="D799" s="29"/>
      <c r="E799" s="30"/>
    </row>
    <row r="800" ht="15.75" customHeight="1">
      <c r="D800" s="29"/>
      <c r="E800" s="30"/>
    </row>
    <row r="801" ht="15.75" customHeight="1">
      <c r="D801" s="29"/>
      <c r="E801" s="30"/>
    </row>
    <row r="802" ht="15.75" customHeight="1">
      <c r="D802" s="29"/>
      <c r="E802" s="30"/>
    </row>
    <row r="803" ht="15.75" customHeight="1">
      <c r="D803" s="29"/>
      <c r="E803" s="30"/>
    </row>
    <row r="804" ht="15.75" customHeight="1">
      <c r="D804" s="29"/>
      <c r="E804" s="30"/>
    </row>
    <row r="805" ht="15.75" customHeight="1">
      <c r="D805" s="29"/>
      <c r="E805" s="30"/>
    </row>
    <row r="806" ht="15.75" customHeight="1">
      <c r="D806" s="29"/>
      <c r="E806" s="30"/>
    </row>
    <row r="807" ht="15.75" customHeight="1">
      <c r="D807" s="29"/>
      <c r="E807" s="30"/>
    </row>
    <row r="808" ht="15.75" customHeight="1">
      <c r="D808" s="29"/>
      <c r="E808" s="30"/>
    </row>
    <row r="809" ht="15.75" customHeight="1">
      <c r="D809" s="29"/>
      <c r="E809" s="30"/>
    </row>
    <row r="810" ht="15.75" customHeight="1">
      <c r="D810" s="29"/>
      <c r="E810" s="30"/>
    </row>
    <row r="811" ht="15.75" customHeight="1">
      <c r="D811" s="29"/>
      <c r="E811" s="30"/>
    </row>
    <row r="812" ht="15.75" customHeight="1">
      <c r="D812" s="29"/>
      <c r="E812" s="30"/>
    </row>
    <row r="813" ht="15.75" customHeight="1">
      <c r="D813" s="29"/>
      <c r="E813" s="30"/>
    </row>
    <row r="814" ht="15.75" customHeight="1">
      <c r="D814" s="29"/>
      <c r="E814" s="30"/>
    </row>
    <row r="815" ht="15.75" customHeight="1">
      <c r="D815" s="29"/>
      <c r="E815" s="30"/>
    </row>
    <row r="816" ht="15.75" customHeight="1">
      <c r="D816" s="29"/>
      <c r="E816" s="30"/>
    </row>
    <row r="817" ht="15.75" customHeight="1">
      <c r="D817" s="29"/>
      <c r="E817" s="30"/>
    </row>
    <row r="818" ht="15.75" customHeight="1">
      <c r="D818" s="29"/>
      <c r="E818" s="30"/>
    </row>
    <row r="819" ht="15.75" customHeight="1">
      <c r="D819" s="29"/>
      <c r="E819" s="30"/>
    </row>
    <row r="820" ht="15.75" customHeight="1">
      <c r="D820" s="29"/>
      <c r="E820" s="30"/>
    </row>
    <row r="821" ht="15.75" customHeight="1">
      <c r="D821" s="29"/>
      <c r="E821" s="30"/>
    </row>
    <row r="822" ht="15.75" customHeight="1">
      <c r="D822" s="29"/>
      <c r="E822" s="30"/>
    </row>
    <row r="823" ht="15.75" customHeight="1">
      <c r="D823" s="29"/>
      <c r="E823" s="30"/>
    </row>
    <row r="824" ht="15.75" customHeight="1">
      <c r="D824" s="29"/>
      <c r="E824" s="30"/>
    </row>
    <row r="825" ht="15.75" customHeight="1">
      <c r="D825" s="29"/>
      <c r="E825" s="30"/>
    </row>
    <row r="826" ht="15.75" customHeight="1">
      <c r="D826" s="29"/>
      <c r="E826" s="30"/>
    </row>
    <row r="827" ht="15.75" customHeight="1">
      <c r="D827" s="29"/>
      <c r="E827" s="30"/>
    </row>
    <row r="828" ht="15.75" customHeight="1">
      <c r="D828" s="29"/>
      <c r="E828" s="30"/>
    </row>
    <row r="829" ht="15.75" customHeight="1">
      <c r="D829" s="29"/>
      <c r="E829" s="30"/>
    </row>
    <row r="830" ht="15.75" customHeight="1">
      <c r="D830" s="29"/>
      <c r="E830" s="30"/>
    </row>
    <row r="831" ht="15.75" customHeight="1">
      <c r="D831" s="29"/>
      <c r="E831" s="30"/>
    </row>
    <row r="832" ht="15.75" customHeight="1">
      <c r="D832" s="29"/>
      <c r="E832" s="30"/>
    </row>
    <row r="833" ht="15.75" customHeight="1">
      <c r="D833" s="29"/>
      <c r="E833" s="30"/>
    </row>
    <row r="834" ht="15.75" customHeight="1">
      <c r="D834" s="29"/>
      <c r="E834" s="30"/>
    </row>
    <row r="835" ht="15.75" customHeight="1">
      <c r="D835" s="29"/>
      <c r="E835" s="30"/>
    </row>
    <row r="836" ht="15.75" customHeight="1">
      <c r="D836" s="29"/>
      <c r="E836" s="30"/>
    </row>
    <row r="837" ht="15.75" customHeight="1">
      <c r="D837" s="29"/>
      <c r="E837" s="30"/>
    </row>
    <row r="838" ht="15.75" customHeight="1">
      <c r="D838" s="29"/>
      <c r="E838" s="30"/>
    </row>
    <row r="839" ht="15.75" customHeight="1">
      <c r="D839" s="29"/>
      <c r="E839" s="30"/>
    </row>
    <row r="840" ht="15.75" customHeight="1">
      <c r="D840" s="29"/>
      <c r="E840" s="30"/>
    </row>
    <row r="841" ht="15.75" customHeight="1">
      <c r="D841" s="29"/>
      <c r="E841" s="30"/>
    </row>
    <row r="842" ht="15.75" customHeight="1">
      <c r="D842" s="29"/>
      <c r="E842" s="30"/>
    </row>
    <row r="843" ht="15.75" customHeight="1">
      <c r="D843" s="29"/>
      <c r="E843" s="30"/>
    </row>
    <row r="844" ht="15.75" customHeight="1">
      <c r="D844" s="29"/>
      <c r="E844" s="30"/>
    </row>
    <row r="845" ht="15.75" customHeight="1">
      <c r="D845" s="29"/>
      <c r="E845" s="30"/>
    </row>
    <row r="846" ht="15.75" customHeight="1">
      <c r="D846" s="29"/>
      <c r="E846" s="30"/>
    </row>
    <row r="847" ht="15.75" customHeight="1">
      <c r="D847" s="29"/>
      <c r="E847" s="30"/>
    </row>
    <row r="848" ht="15.75" customHeight="1">
      <c r="D848" s="29"/>
      <c r="E848" s="30"/>
    </row>
    <row r="849" ht="15.75" customHeight="1">
      <c r="D849" s="29"/>
      <c r="E849" s="30"/>
    </row>
    <row r="850" ht="15.75" customHeight="1">
      <c r="D850" s="29"/>
      <c r="E850" s="30"/>
    </row>
    <row r="851" ht="15.75" customHeight="1">
      <c r="D851" s="29"/>
      <c r="E851" s="30"/>
    </row>
    <row r="852" ht="15.75" customHeight="1">
      <c r="D852" s="29"/>
      <c r="E852" s="30"/>
    </row>
    <row r="853" ht="15.75" customHeight="1">
      <c r="D853" s="29"/>
      <c r="E853" s="30"/>
    </row>
    <row r="854" ht="15.75" customHeight="1">
      <c r="D854" s="29"/>
      <c r="E854" s="30"/>
    </row>
    <row r="855" ht="15.75" customHeight="1">
      <c r="D855" s="29"/>
      <c r="E855" s="30"/>
    </row>
    <row r="856" ht="15.75" customHeight="1">
      <c r="D856" s="29"/>
      <c r="E856" s="30"/>
    </row>
    <row r="857" ht="15.75" customHeight="1">
      <c r="D857" s="29"/>
      <c r="E857" s="30"/>
    </row>
    <row r="858" ht="15.75" customHeight="1">
      <c r="D858" s="29"/>
      <c r="E858" s="30"/>
    </row>
    <row r="859" ht="15.75" customHeight="1">
      <c r="D859" s="29"/>
      <c r="E859" s="30"/>
    </row>
    <row r="860" ht="15.75" customHeight="1">
      <c r="D860" s="29"/>
      <c r="E860" s="30"/>
    </row>
    <row r="861" ht="15.75" customHeight="1">
      <c r="D861" s="29"/>
      <c r="E861" s="30"/>
    </row>
    <row r="862" ht="15.75" customHeight="1">
      <c r="D862" s="29"/>
      <c r="E862" s="30"/>
    </row>
    <row r="863" ht="15.75" customHeight="1">
      <c r="D863" s="29"/>
      <c r="E863" s="30"/>
    </row>
    <row r="864" ht="15.75" customHeight="1">
      <c r="D864" s="29"/>
      <c r="E864" s="30"/>
    </row>
    <row r="865" ht="15.75" customHeight="1">
      <c r="D865" s="29"/>
      <c r="E865" s="30"/>
    </row>
    <row r="866" ht="15.75" customHeight="1">
      <c r="D866" s="29"/>
      <c r="E866" s="30"/>
    </row>
    <row r="867" ht="15.75" customHeight="1">
      <c r="D867" s="29"/>
      <c r="E867" s="30"/>
    </row>
    <row r="868" ht="15.75" customHeight="1">
      <c r="D868" s="29"/>
      <c r="E868" s="30"/>
    </row>
    <row r="869" ht="15.75" customHeight="1">
      <c r="D869" s="29"/>
      <c r="E869" s="30"/>
    </row>
    <row r="870" ht="15.75" customHeight="1">
      <c r="D870" s="29"/>
      <c r="E870" s="30"/>
    </row>
    <row r="871" ht="15.75" customHeight="1">
      <c r="D871" s="29"/>
      <c r="E871" s="30"/>
    </row>
    <row r="872" ht="15.75" customHeight="1">
      <c r="D872" s="29"/>
      <c r="E872" s="30"/>
    </row>
    <row r="873" ht="15.75" customHeight="1">
      <c r="D873" s="29"/>
      <c r="E873" s="30"/>
    </row>
    <row r="874" ht="15.75" customHeight="1">
      <c r="D874" s="29"/>
      <c r="E874" s="30"/>
    </row>
    <row r="875" ht="15.75" customHeight="1">
      <c r="D875" s="29"/>
      <c r="E875" s="30"/>
    </row>
    <row r="876" ht="15.75" customHeight="1">
      <c r="D876" s="29"/>
      <c r="E876" s="30"/>
    </row>
    <row r="877" ht="15.75" customHeight="1">
      <c r="D877" s="29"/>
      <c r="E877" s="30"/>
    </row>
    <row r="878" ht="15.75" customHeight="1">
      <c r="D878" s="29"/>
      <c r="E878" s="30"/>
    </row>
    <row r="879" ht="15.75" customHeight="1">
      <c r="D879" s="29"/>
      <c r="E879" s="30"/>
    </row>
    <row r="880" ht="15.75" customHeight="1">
      <c r="D880" s="29"/>
      <c r="E880" s="30"/>
    </row>
    <row r="881" ht="15.75" customHeight="1">
      <c r="D881" s="29"/>
      <c r="E881" s="30"/>
    </row>
    <row r="882" ht="15.75" customHeight="1">
      <c r="D882" s="29"/>
      <c r="E882" s="30"/>
    </row>
    <row r="883" ht="15.75" customHeight="1">
      <c r="D883" s="29"/>
      <c r="E883" s="30"/>
    </row>
    <row r="884" ht="15.75" customHeight="1">
      <c r="D884" s="29"/>
      <c r="E884" s="30"/>
    </row>
    <row r="885" ht="15.75" customHeight="1">
      <c r="D885" s="29"/>
      <c r="E885" s="30"/>
    </row>
    <row r="886" ht="15.75" customHeight="1">
      <c r="D886" s="29"/>
      <c r="E886" s="30"/>
    </row>
    <row r="887" ht="15.75" customHeight="1">
      <c r="D887" s="29"/>
      <c r="E887" s="30"/>
    </row>
    <row r="888" ht="15.75" customHeight="1">
      <c r="D888" s="29"/>
      <c r="E888" s="30"/>
    </row>
    <row r="889" ht="15.75" customHeight="1">
      <c r="D889" s="29"/>
      <c r="E889" s="30"/>
    </row>
    <row r="890" ht="15.75" customHeight="1">
      <c r="D890" s="29"/>
      <c r="E890" s="30"/>
    </row>
    <row r="891" ht="15.75" customHeight="1">
      <c r="D891" s="29"/>
      <c r="E891" s="30"/>
    </row>
    <row r="892" ht="15.75" customHeight="1">
      <c r="D892" s="29"/>
      <c r="E892" s="30"/>
    </row>
    <row r="893" ht="15.75" customHeight="1">
      <c r="D893" s="29"/>
      <c r="E893" s="30"/>
    </row>
    <row r="894" ht="15.75" customHeight="1">
      <c r="D894" s="29"/>
      <c r="E894" s="30"/>
    </row>
    <row r="895" ht="15.75" customHeight="1">
      <c r="D895" s="29"/>
      <c r="E895" s="30"/>
    </row>
    <row r="896" ht="15.75" customHeight="1">
      <c r="D896" s="29"/>
      <c r="E896" s="30"/>
    </row>
    <row r="897" ht="15.75" customHeight="1">
      <c r="D897" s="29"/>
      <c r="E897" s="30"/>
    </row>
    <row r="898" ht="15.75" customHeight="1">
      <c r="D898" s="29"/>
      <c r="E898" s="30"/>
    </row>
    <row r="899" ht="15.75" customHeight="1">
      <c r="D899" s="29"/>
      <c r="E899" s="30"/>
    </row>
    <row r="900" ht="15.75" customHeight="1">
      <c r="D900" s="29"/>
      <c r="E900" s="30"/>
    </row>
    <row r="901" ht="15.75" customHeight="1">
      <c r="D901" s="29"/>
      <c r="E901" s="30"/>
    </row>
    <row r="902" ht="15.75" customHeight="1">
      <c r="D902" s="29"/>
      <c r="E902" s="30"/>
    </row>
    <row r="903" ht="15.75" customHeight="1">
      <c r="D903" s="29"/>
      <c r="E903" s="30"/>
    </row>
    <row r="904" ht="15.75" customHeight="1">
      <c r="D904" s="29"/>
      <c r="E904" s="30"/>
    </row>
    <row r="905" ht="15.75" customHeight="1">
      <c r="D905" s="29"/>
      <c r="E905" s="30"/>
    </row>
    <row r="906" ht="15.75" customHeight="1">
      <c r="D906" s="29"/>
      <c r="E906" s="30"/>
    </row>
    <row r="907" ht="15.75" customHeight="1">
      <c r="D907" s="29"/>
      <c r="E907" s="30"/>
    </row>
    <row r="908" ht="15.75" customHeight="1">
      <c r="D908" s="29"/>
      <c r="E908" s="30"/>
    </row>
    <row r="909" ht="15.75" customHeight="1">
      <c r="D909" s="29"/>
      <c r="E909" s="30"/>
    </row>
    <row r="910" ht="15.75" customHeight="1">
      <c r="D910" s="29"/>
      <c r="E910" s="30"/>
    </row>
    <row r="911" ht="15.75" customHeight="1">
      <c r="D911" s="29"/>
      <c r="E911" s="30"/>
    </row>
    <row r="912" ht="15.75" customHeight="1">
      <c r="D912" s="29"/>
      <c r="E912" s="30"/>
    </row>
    <row r="913" ht="15.75" customHeight="1">
      <c r="D913" s="29"/>
      <c r="E913" s="30"/>
    </row>
    <row r="914" ht="15.75" customHeight="1">
      <c r="D914" s="29"/>
      <c r="E914" s="30"/>
    </row>
    <row r="915" ht="15.75" customHeight="1">
      <c r="D915" s="29"/>
      <c r="E915" s="30"/>
    </row>
    <row r="916" ht="15.75" customHeight="1">
      <c r="D916" s="29"/>
      <c r="E916" s="30"/>
    </row>
    <row r="917" ht="15.75" customHeight="1">
      <c r="D917" s="29"/>
      <c r="E917" s="30"/>
    </row>
    <row r="918" ht="15.75" customHeight="1">
      <c r="D918" s="29"/>
      <c r="E918" s="30"/>
    </row>
    <row r="919" ht="15.75" customHeight="1">
      <c r="D919" s="29"/>
      <c r="E919" s="30"/>
    </row>
    <row r="920" ht="15.75" customHeight="1">
      <c r="D920" s="29"/>
      <c r="E920" s="30"/>
    </row>
    <row r="921" ht="15.75" customHeight="1">
      <c r="D921" s="29"/>
      <c r="E921" s="30"/>
    </row>
    <row r="922" ht="15.75" customHeight="1">
      <c r="D922" s="29"/>
      <c r="E922" s="30"/>
    </row>
    <row r="923" ht="15.75" customHeight="1">
      <c r="D923" s="29"/>
      <c r="E923" s="30"/>
    </row>
    <row r="924" ht="15.75" customHeight="1">
      <c r="D924" s="29"/>
      <c r="E924" s="30"/>
    </row>
    <row r="925" ht="15.75" customHeight="1">
      <c r="D925" s="29"/>
      <c r="E925" s="30"/>
    </row>
    <row r="926" ht="15.75" customHeight="1">
      <c r="D926" s="29"/>
      <c r="E926" s="30"/>
    </row>
    <row r="927" ht="15.75" customHeight="1">
      <c r="D927" s="29"/>
      <c r="E927" s="30"/>
    </row>
    <row r="928" ht="15.75" customHeight="1">
      <c r="D928" s="29"/>
      <c r="E928" s="30"/>
    </row>
    <row r="929" ht="15.75" customHeight="1">
      <c r="D929" s="29"/>
      <c r="E929" s="30"/>
    </row>
    <row r="930" ht="15.75" customHeight="1">
      <c r="D930" s="29"/>
      <c r="E930" s="30"/>
    </row>
    <row r="931" ht="15.75" customHeight="1">
      <c r="D931" s="29"/>
      <c r="E931" s="30"/>
    </row>
    <row r="932" ht="15.75" customHeight="1">
      <c r="D932" s="29"/>
      <c r="E932" s="30"/>
    </row>
    <row r="933" ht="15.75" customHeight="1">
      <c r="D933" s="29"/>
      <c r="E933" s="30"/>
    </row>
    <row r="934" ht="15.75" customHeight="1">
      <c r="D934" s="29"/>
      <c r="E934" s="30"/>
    </row>
    <row r="935" ht="15.75" customHeight="1">
      <c r="D935" s="29"/>
      <c r="E935" s="30"/>
    </row>
    <row r="936" ht="15.75" customHeight="1">
      <c r="D936" s="29"/>
      <c r="E936" s="30"/>
    </row>
    <row r="937" ht="15.75" customHeight="1">
      <c r="D937" s="29"/>
      <c r="E937" s="30"/>
    </row>
    <row r="938" ht="15.75" customHeight="1">
      <c r="D938" s="29"/>
      <c r="E938" s="30"/>
    </row>
    <row r="939" ht="15.75" customHeight="1">
      <c r="D939" s="29"/>
      <c r="E939" s="30"/>
    </row>
    <row r="940" ht="15.75" customHeight="1">
      <c r="D940" s="29"/>
      <c r="E940" s="30"/>
    </row>
    <row r="941" ht="15.75" customHeight="1">
      <c r="D941" s="29"/>
      <c r="E941" s="30"/>
    </row>
    <row r="942" ht="15.75" customHeight="1">
      <c r="D942" s="29"/>
      <c r="E942" s="30"/>
    </row>
    <row r="943" ht="15.75" customHeight="1">
      <c r="D943" s="29"/>
      <c r="E943" s="30"/>
    </row>
    <row r="944" ht="15.75" customHeight="1">
      <c r="D944" s="29"/>
      <c r="E944" s="30"/>
    </row>
    <row r="945" ht="15.75" customHeight="1">
      <c r="D945" s="29"/>
      <c r="E945" s="30"/>
    </row>
    <row r="946" ht="15.75" customHeight="1">
      <c r="D946" s="29"/>
      <c r="E946" s="30"/>
    </row>
    <row r="947" ht="15.75" customHeight="1">
      <c r="D947" s="29"/>
      <c r="E947" s="30"/>
    </row>
    <row r="948" ht="15.75" customHeight="1">
      <c r="D948" s="29"/>
      <c r="E948" s="30"/>
    </row>
    <row r="949" ht="15.75" customHeight="1">
      <c r="D949" s="29"/>
      <c r="E949" s="30"/>
    </row>
    <row r="950" ht="15.75" customHeight="1">
      <c r="D950" s="29"/>
      <c r="E950" s="30"/>
    </row>
    <row r="951" ht="15.75" customHeight="1">
      <c r="D951" s="29"/>
      <c r="E951" s="30"/>
    </row>
    <row r="952" ht="15.75" customHeight="1">
      <c r="D952" s="29"/>
      <c r="E952" s="30"/>
    </row>
    <row r="953" ht="15.75" customHeight="1">
      <c r="D953" s="29"/>
      <c r="E953" s="30"/>
    </row>
    <row r="954" ht="15.75" customHeight="1">
      <c r="D954" s="29"/>
      <c r="E954" s="30"/>
    </row>
    <row r="955" ht="15.75" customHeight="1">
      <c r="D955" s="29"/>
      <c r="E955" s="30"/>
    </row>
    <row r="956" ht="15.75" customHeight="1">
      <c r="D956" s="29"/>
      <c r="E956" s="30"/>
    </row>
    <row r="957" ht="15.75" customHeight="1">
      <c r="D957" s="29"/>
      <c r="E957" s="30"/>
    </row>
    <row r="958" ht="15.75" customHeight="1">
      <c r="D958" s="29"/>
      <c r="E958" s="30"/>
    </row>
    <row r="959" ht="15.75" customHeight="1">
      <c r="D959" s="29"/>
      <c r="E959" s="30"/>
    </row>
    <row r="960" ht="15.75" customHeight="1">
      <c r="D960" s="29"/>
      <c r="E960" s="30"/>
    </row>
    <row r="961" ht="15.75" customHeight="1">
      <c r="D961" s="29"/>
      <c r="E961" s="30"/>
    </row>
    <row r="962" ht="15.75" customHeight="1">
      <c r="D962" s="29"/>
      <c r="E962" s="30"/>
    </row>
    <row r="963" ht="15.75" customHeight="1">
      <c r="D963" s="29"/>
      <c r="E963" s="30"/>
    </row>
    <row r="964" ht="15.75" customHeight="1">
      <c r="D964" s="29"/>
      <c r="E964" s="30"/>
    </row>
    <row r="965" ht="15.75" customHeight="1">
      <c r="D965" s="29"/>
      <c r="E965" s="30"/>
    </row>
    <row r="966" ht="15.75" customHeight="1">
      <c r="D966" s="29"/>
      <c r="E966" s="30"/>
    </row>
    <row r="967" ht="15.75" customHeight="1">
      <c r="D967" s="29"/>
      <c r="E967" s="30"/>
    </row>
    <row r="968" ht="15.75" customHeight="1">
      <c r="D968" s="29"/>
      <c r="E968" s="30"/>
    </row>
    <row r="969" ht="15.75" customHeight="1">
      <c r="D969" s="29"/>
      <c r="E969" s="30"/>
    </row>
    <row r="970" ht="15.75" customHeight="1">
      <c r="D970" s="29"/>
      <c r="E970" s="30"/>
    </row>
    <row r="971" ht="15.75" customHeight="1">
      <c r="D971" s="29"/>
      <c r="E971" s="30"/>
    </row>
    <row r="972" ht="15.75" customHeight="1">
      <c r="D972" s="29"/>
      <c r="E972" s="30"/>
    </row>
    <row r="973" ht="15.75" customHeight="1">
      <c r="D973" s="29"/>
      <c r="E973" s="30"/>
    </row>
    <row r="974" ht="15.75" customHeight="1">
      <c r="D974" s="29"/>
      <c r="E974" s="30"/>
    </row>
    <row r="975" ht="15.75" customHeight="1">
      <c r="D975" s="29"/>
      <c r="E975" s="30"/>
    </row>
    <row r="976" ht="15.75" customHeight="1">
      <c r="D976" s="29"/>
      <c r="E976" s="30"/>
    </row>
    <row r="977" ht="15.75" customHeight="1">
      <c r="D977" s="29"/>
      <c r="E977" s="30"/>
    </row>
    <row r="978" ht="15.75" customHeight="1">
      <c r="D978" s="29"/>
      <c r="E978" s="30"/>
    </row>
    <row r="979" ht="15.75" customHeight="1">
      <c r="D979" s="29"/>
      <c r="E979" s="30"/>
    </row>
    <row r="980" ht="15.75" customHeight="1">
      <c r="D980" s="29"/>
      <c r="E980" s="30"/>
    </row>
    <row r="981" ht="15.75" customHeight="1">
      <c r="D981" s="29"/>
      <c r="E981" s="30"/>
    </row>
    <row r="982" ht="15.75" customHeight="1">
      <c r="D982" s="29"/>
      <c r="E982" s="30"/>
    </row>
    <row r="983" ht="15.75" customHeight="1">
      <c r="D983" s="29"/>
      <c r="E983" s="30"/>
    </row>
    <row r="984" ht="15.75" customHeight="1">
      <c r="D984" s="29"/>
      <c r="E984" s="30"/>
    </row>
    <row r="985" ht="15.75" customHeight="1">
      <c r="D985" s="29"/>
      <c r="E985" s="30"/>
    </row>
    <row r="986" ht="15.75" customHeight="1">
      <c r="D986" s="29"/>
      <c r="E986" s="30"/>
    </row>
    <row r="987" ht="15.75" customHeight="1">
      <c r="D987" s="29"/>
      <c r="E987" s="30"/>
    </row>
    <row r="988" ht="15.75" customHeight="1">
      <c r="D988" s="29"/>
      <c r="E988" s="30"/>
    </row>
    <row r="989" ht="15.75" customHeight="1">
      <c r="D989" s="29"/>
      <c r="E989" s="30"/>
    </row>
    <row r="990" ht="15.75" customHeight="1">
      <c r="D990" s="29"/>
      <c r="E990" s="30"/>
    </row>
    <row r="991" ht="15.75" customHeight="1">
      <c r="D991" s="29"/>
      <c r="E991" s="30"/>
    </row>
    <row r="992" ht="15.75" customHeight="1">
      <c r="D992" s="29"/>
      <c r="E992" s="30"/>
    </row>
    <row r="993" ht="15.75" customHeight="1">
      <c r="D993" s="29"/>
      <c r="E993" s="30"/>
    </row>
    <row r="994" ht="15.75" customHeight="1">
      <c r="D994" s="29"/>
      <c r="E994" s="30"/>
    </row>
    <row r="995" ht="15.75" customHeight="1">
      <c r="D995" s="29"/>
      <c r="E995" s="30"/>
    </row>
    <row r="996" ht="15.75" customHeight="1">
      <c r="D996" s="29"/>
      <c r="E996" s="30"/>
    </row>
  </sheetData>
  <dataValidations>
    <dataValidation type="list" allowBlank="1" showErrorMessage="1" sqref="E2:E996">
      <formula1>"PK,FK"</formula1>
    </dataValidation>
    <dataValidation type="list" allowBlank="1" showErrorMessage="1" sqref="D2:D996">
      <formula1>"CHAR,BOOL,INT,FLOAT,DATE"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3</v>
      </c>
    </row>
    <row r="2">
      <c r="A2" s="4" t="s">
        <v>11</v>
      </c>
    </row>
    <row r="3">
      <c r="A3" s="8" t="s">
        <v>14</v>
      </c>
    </row>
    <row r="4">
      <c r="A4" s="4" t="s">
        <v>30</v>
      </c>
    </row>
    <row r="5">
      <c r="A5" s="4" t="s">
        <v>31</v>
      </c>
    </row>
    <row r="6">
      <c r="A6" s="4" t="s">
        <v>32</v>
      </c>
    </row>
    <row r="7">
      <c r="A7" s="4" t="s">
        <v>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4</v>
      </c>
      <c r="C1" s="1" t="s">
        <v>5</v>
      </c>
      <c r="D1" s="1" t="s">
        <v>2</v>
      </c>
      <c r="E1" s="1" t="s">
        <v>6</v>
      </c>
      <c r="F1" s="1" t="s">
        <v>7</v>
      </c>
      <c r="G1" s="1" t="s">
        <v>8</v>
      </c>
      <c r="H1" s="1" t="s">
        <v>9</v>
      </c>
      <c r="I1" s="3" t="s">
        <v>10</v>
      </c>
      <c r="J1" s="1" t="s">
        <v>12</v>
      </c>
      <c r="K1" s="1" t="s">
        <v>13</v>
      </c>
      <c r="L1" s="6"/>
    </row>
    <row r="2">
      <c r="A2" s="6" t="s">
        <v>23</v>
      </c>
      <c r="B2" s="6"/>
      <c r="C2" s="6" t="s">
        <v>24</v>
      </c>
      <c r="D2" s="6" t="s">
        <v>17</v>
      </c>
      <c r="E2" s="6" t="s">
        <v>26</v>
      </c>
      <c r="F2" s="6" t="s">
        <v>27</v>
      </c>
      <c r="G2" s="6" t="s">
        <v>28</v>
      </c>
      <c r="H2" s="6" t="s">
        <v>29</v>
      </c>
      <c r="I2" s="6"/>
      <c r="J2" s="6"/>
      <c r="K2" s="6"/>
      <c r="L2" s="6"/>
    </row>
    <row r="3">
      <c r="A3" s="6"/>
      <c r="B3" s="6"/>
      <c r="C3" s="9" t="s">
        <v>25</v>
      </c>
      <c r="D3" s="11" t="s">
        <v>37</v>
      </c>
      <c r="E3" s="11" t="s">
        <v>26</v>
      </c>
      <c r="F3" s="6"/>
      <c r="G3" s="6"/>
      <c r="H3" s="6"/>
      <c r="I3" s="6"/>
      <c r="J3" s="6"/>
      <c r="K3" s="6"/>
      <c r="L3" s="6"/>
    </row>
    <row r="4">
      <c r="A4" s="6"/>
      <c r="B4" s="6"/>
      <c r="C4" s="13" t="s">
        <v>39</v>
      </c>
      <c r="D4" s="11" t="s">
        <v>37</v>
      </c>
      <c r="E4" s="11" t="s">
        <v>26</v>
      </c>
      <c r="F4" s="11" t="s">
        <v>41</v>
      </c>
      <c r="G4" s="18" t="s">
        <v>42</v>
      </c>
      <c r="H4" s="11" t="s">
        <v>46</v>
      </c>
      <c r="I4" s="6"/>
      <c r="J4" s="19">
        <v>46284.0</v>
      </c>
      <c r="K4" s="6"/>
      <c r="L4" s="6"/>
    </row>
    <row r="5">
      <c r="A5" s="6"/>
      <c r="B5" s="6"/>
      <c r="D5" s="11" t="s">
        <v>37</v>
      </c>
      <c r="E5" s="6"/>
      <c r="F5" s="6"/>
      <c r="G5" s="6"/>
      <c r="H5" s="6"/>
      <c r="I5" s="6"/>
      <c r="J5" s="6"/>
      <c r="K5" s="6"/>
      <c r="L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</row>
  </sheetData>
  <dataValidations>
    <dataValidation type="list" allowBlank="1" showErrorMessage="1" sqref="D2:D96">
      <formula1>"XLSX ,KML, SHP ,DOCX,SQLite,DuckDB"</formula1>
    </dataValidation>
    <dataValidation type="list" allowBlank="1" showErrorMessage="1" sqref="E2:E96">
      <formula1>"STAGING,SILVER,GOLD"</formula1>
    </dataValidation>
  </dataValidations>
  <hyperlinks>
    <hyperlink r:id="rId1" ref="G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2</v>
      </c>
    </row>
    <row r="2">
      <c r="A2" s="6" t="s">
        <v>17</v>
      </c>
    </row>
    <row r="3">
      <c r="A3" s="6" t="s">
        <v>33</v>
      </c>
    </row>
    <row r="4">
      <c r="A4" s="6" t="s">
        <v>35</v>
      </c>
    </row>
    <row r="5">
      <c r="A5" s="6" t="s">
        <v>36</v>
      </c>
    </row>
  </sheetData>
  <drawing r:id="rId1"/>
</worksheet>
</file>